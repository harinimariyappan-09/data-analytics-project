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KPI_Dictionary" sheetId="2" state="visible" r:id="rId4"/>
    <sheet name="KPI_Check" sheetId="3" state="visible" r:id="rId5"/>
    <sheet name="DQ_Checks" sheetId="4" state="visible" r:id="rId6"/>
    <sheet name="Raw_Data" sheetId="5" state="visible" r:id="rId7"/>
    <sheet name="Clean_Data" sheetId="6" state="visible" r:id="rId8"/>
    <sheet name="Quarantine" sheetId="7" state="visible" r:id="rId9"/>
    <sheet name="Severity_Escala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<sst xmlns="http://schemas.openxmlformats.org/spreadsheetml/2006/main" count="565" uniqueCount="305">
  <si>
    <t xml:space="preserve">KPI Dictionary &amp; Data Quality Contract: Retail Orders</t>
  </si>
  <si>
    <t xml:space="preserve">Dataset</t>
  </si>
  <si>
    <t xml:space="preserve">retail-orders-raw.csv (12 raw rows, 11 distinct orders; Learning Kit, Course Access and Mentor Session sales in INR)</t>
  </si>
  <si>
    <t xml:space="preserve">Decision owner</t>
  </si>
  <si>
    <t xml:space="preserve">Head of Growth &amp; Revenue Operations (assumed role; replace with the real name)</t>
  </si>
  <si>
    <t xml:space="preserve">Purpose</t>
  </si>
  <si>
    <t xml:space="preserve">Turn the ambiguous request 'how are our orders doing?' into 10 measurable KPIs, and state what trustworthy data means with testable checks.</t>
  </si>
  <si>
    <t xml:space="preserve">Sheet</t>
  </si>
  <si>
    <t xml:space="preserve">What it contains</t>
  </si>
  <si>
    <t xml:space="preserve">KPI_Dictionary</t>
  </si>
  <si>
    <t xml:space="preserve">10 KPIs, each with formula, grain, filters, owner, refresh cadence, edge cases and a live sample value.</t>
  </si>
  <si>
    <t xml:space="preserve">KPI_Check</t>
  </si>
  <si>
    <t xml:space="preserve">Recomputes every KPI with live Excel formulas on Clean_Data and compares with the Python notebook (should all say OK).</t>
  </si>
  <si>
    <t xml:space="preserve">DQ_Checks</t>
  </si>
  <si>
    <t xml:space="preserve">18 executable checks across completeness, uniqueness, validity, consistency and freshness, with thresholds, severity and results.</t>
  </si>
  <si>
    <t xml:space="preserve">Severity_Escalation</t>
  </si>
  <si>
    <t xml:space="preserve">What happens when a check fails at P1 / P2 / P3.</t>
  </si>
  <si>
    <t xml:space="preserve">Clean_Data</t>
  </si>
  <si>
    <t xml:space="preserve">Rows that passed cleaning (deduplicated, normalized). KPI formulas read this sheet.</t>
  </si>
  <si>
    <t xml:space="preserve">Quarantine</t>
  </si>
  <si>
    <t xml:space="preserve">Rows excluded from KPIs, with the exact reason.</t>
  </si>
  <si>
    <t xml:space="preserve">Raw_Data</t>
  </si>
  <si>
    <t xml:space="preserve">Untouched copy of the source file, all values as text.</t>
  </si>
  <si>
    <t xml:space="preserve">Colour code</t>
  </si>
  <si>
    <t xml:space="preserve">Blue font = hardcoded value (raw data, notebook results, thresholds). Black = formula. Green = link to another sheet.</t>
  </si>
  <si>
    <t xml:space="preserve">Run date</t>
  </si>
  <si>
    <t xml:space="preserve">2026-10-05 (freshness is measured against this date).</t>
  </si>
  <si>
    <t xml:space="preserve">Key assumptions</t>
  </si>
  <si>
    <t xml:space="preserve">1) DD/MM/YYYY dates are repaired to ISO (India convention). 2) A missing discount is NOT assumed to be 0 without justification, so the row is quarantined. 3) Words like 'two' are not auto-converted. 4) Owners and cadences are proposed roles/timings for a real team to confirm.</t>
  </si>
  <si>
    <t xml:space="preserve">Companion files</t>
  </si>
  <si>
    <t xml:space="preserve">data_profile_notebook.ipynb (executable profile) and data_quality_contract.md (the contract).</t>
  </si>
  <si>
    <t xml:space="preserve">KPI ID</t>
  </si>
  <si>
    <t xml:space="preserve">KPI name</t>
  </si>
  <si>
    <t xml:space="preserve">Business question</t>
  </si>
  <si>
    <t xml:space="preserve">Formula</t>
  </si>
  <si>
    <t xml:space="preserve">Grain</t>
  </si>
  <si>
    <t xml:space="preserve">Filters / inclusion rules</t>
  </si>
  <si>
    <t xml:space="preserve">Unit</t>
  </si>
  <si>
    <t xml:space="preserve">Owner</t>
  </si>
  <si>
    <t xml:space="preserve">Refresh cadence</t>
  </si>
  <si>
    <t xml:space="preserve">Source columns</t>
  </si>
  <si>
    <t xml:space="preserve">Sample value (clean data)</t>
  </si>
  <si>
    <t xml:space="preserve">Edge cases &amp; notes</t>
  </si>
  <si>
    <t xml:space="preserve">KPI-01</t>
  </si>
  <si>
    <t xml:space="preserve">Order Count</t>
  </si>
  <si>
    <t xml:space="preserve">How many valid orders did we receive?</t>
  </si>
  <si>
    <t xml:space="preserve">COUNT(DISTINCT order_id)</t>
  </si>
  <si>
    <t xml:space="preserve">1 row = 1 order</t>
  </si>
  <si>
    <t xml:space="preserve">Clean set only (deduplicated, no blocking defects). All payment statuses included.</t>
  </si>
  <si>
    <t xml:space="preserve">orders</t>
  </si>
  <si>
    <t xml:space="preserve">Retail Operations Manager</t>
  </si>
  <si>
    <t xml:space="preserve">Daily, 06:00 IST</t>
  </si>
  <si>
    <t xml:space="preserve">order_id</t>
  </si>
  <si>
    <t xml:space="preserve">Excludes quarantined rows; their count is tracked in KPI-10.</t>
  </si>
  <si>
    <t xml:space="preserve">KPI-02</t>
  </si>
  <si>
    <t xml:space="preserve">Gross Merchandise Value (GMV)</t>
  </si>
  <si>
    <t xml:space="preserve">What is the booked value of orders before discounts?</t>
  </si>
  <si>
    <t xml:space="preserve">SUM(quantity x unit_price)</t>
  </si>
  <si>
    <t xml:space="preserve">Order</t>
  </si>
  <si>
    <t xml:space="preserve">Clean set; payment_status &lt;&gt; 'Failed'. Pending and Refunded stay in (they were booked).</t>
  </si>
  <si>
    <t xml:space="preserve">INR</t>
  </si>
  <si>
    <t xml:space="preserve">Head of Growth &amp; Revenue Ops</t>
  </si>
  <si>
    <t xml:space="preserve">quantity, unit_price, payment_status</t>
  </si>
  <si>
    <t xml:space="preserve">Failed payments never completed, so they are not booked value.</t>
  </si>
  <si>
    <t xml:space="preserve">KPI-03</t>
  </si>
  <si>
    <t xml:space="preserve">Discount Amount</t>
  </si>
  <si>
    <t xml:space="preserve">How much money did we give away in discounts?</t>
  </si>
  <si>
    <t xml:space="preserve">SUM(quantity x unit_price x discount_pct / 100)</t>
  </si>
  <si>
    <t xml:space="preserve">Same filter as GMV (clean set, status &lt;&gt; 'Failed').</t>
  </si>
  <si>
    <t xml:space="preserve">Pricing &amp; Promotions Lead</t>
  </si>
  <si>
    <t xml:space="preserve">quantity, unit_price, discount_pct</t>
  </si>
  <si>
    <t xml:space="preserve">discount_pct must be 0-100 and present; a missing discount quarantines the row.</t>
  </si>
  <si>
    <t xml:space="preserve">KPI-04</t>
  </si>
  <si>
    <t xml:space="preserve">Discount Rate</t>
  </si>
  <si>
    <t xml:space="preserve">What share of GMV is given away as discount?</t>
  </si>
  <si>
    <t xml:space="preserve">Discount Amount / GMV</t>
  </si>
  <si>
    <t xml:space="preserve">Whole period (ratio of two sums)</t>
  </si>
  <si>
    <t xml:space="preserve">Same filter as GMV.</t>
  </si>
  <si>
    <t xml:space="preserve">%</t>
  </si>
  <si>
    <t xml:space="preserve">KPI-03, KPI-02</t>
  </si>
  <si>
    <t xml:space="preserve">Ratio of sums, NOT the average of per-order discount_pct. Returns 0 if GMV = 0.</t>
  </si>
  <si>
    <t xml:space="preserve">KPI-05</t>
  </si>
  <si>
    <t xml:space="preserve">Net Revenue</t>
  </si>
  <si>
    <t xml:space="preserve">How much money have we actually kept from completed sales?</t>
  </si>
  <si>
    <t xml:space="preserve">SUM(quantity x unit_price x (1 - discount_pct / 100))</t>
  </si>
  <si>
    <t xml:space="preserve">Clean set; payment_status = 'Paid' only. Refunded, Pending and Failed excluded.</t>
  </si>
  <si>
    <t xml:space="preserve">quantity, unit_price, discount_pct, payment_status</t>
  </si>
  <si>
    <t xml:space="preserve">Primary revenue KPI. A refund moves an order from Paid to Refunded, so revenue drops automatically.</t>
  </si>
  <si>
    <t xml:space="preserve">KPI-06</t>
  </si>
  <si>
    <t xml:space="preserve">Average Order Value (AOV)</t>
  </si>
  <si>
    <t xml:space="preserve">How much does a typical paid order bring in?</t>
  </si>
  <si>
    <t xml:space="preserve">Net Revenue / COUNT(DISTINCT order_id where status = 'Paid')</t>
  </si>
  <si>
    <t xml:space="preserve">Clean set; Paid orders only.</t>
  </si>
  <si>
    <t xml:space="preserve">INR per order</t>
  </si>
  <si>
    <t xml:space="preserve">Growth Analyst</t>
  </si>
  <si>
    <t xml:space="preserve">KPI-05, order_id, payment_status</t>
  </si>
  <si>
    <t xml:space="preserve">Returns 0 when there are no paid orders.</t>
  </si>
  <si>
    <t xml:space="preserve">KPI-07</t>
  </si>
  <si>
    <t xml:space="preserve">Units per Order</t>
  </si>
  <si>
    <t xml:space="preserve">How many items are in a typical paid order?</t>
  </si>
  <si>
    <t xml:space="preserve">SUM(quantity) / COUNT(DISTINCT order_id) for Paid orders</t>
  </si>
  <si>
    <t xml:space="preserve">units</t>
  </si>
  <si>
    <t xml:space="preserve">quantity, order_id, payment_status</t>
  </si>
  <si>
    <t xml:space="preserve">Mentor Sessions and Course Access are usually 1 unit, so mix affects this.</t>
  </si>
  <si>
    <t xml:space="preserve">KPI-08</t>
  </si>
  <si>
    <t xml:space="preserve">Payment Success Rate</t>
  </si>
  <si>
    <t xml:space="preserve">Of the payments that reached a final outcome, how many succeeded?</t>
  </si>
  <si>
    <t xml:space="preserve">COUNT(Paid) / (COUNT(Paid) + COUNT(Failed))</t>
  </si>
  <si>
    <t xml:space="preserve">Clean set. Pending excluded from the denominator (no outcome yet); Refunded excluded.</t>
  </si>
  <si>
    <t xml:space="preserve">Payments Operations Lead</t>
  </si>
  <si>
    <t xml:space="preserve">payment_status, order_id</t>
  </si>
  <si>
    <t xml:space="preserve">A drop signals gateway or checkout problems; review alongside Pending backlog.</t>
  </si>
  <si>
    <t xml:space="preserve">KPI-09</t>
  </si>
  <si>
    <t xml:space="preserve">Refund Rate</t>
  </si>
  <si>
    <t xml:space="preserve">How many completed sales were refunded?</t>
  </si>
  <si>
    <t xml:space="preserve">COUNT(Refunded) / (COUNT(Paid) + COUNT(Refunded))</t>
  </si>
  <si>
    <t xml:space="preserve">Clean set. Denominator = all orders that were ever successfully paid.</t>
  </si>
  <si>
    <t xml:space="preserve">Customer Support Lead</t>
  </si>
  <si>
    <t xml:space="preserve">Weekly, Monday 07:00 IST (refunds lag)</t>
  </si>
  <si>
    <t xml:space="preserve">Order-count based. A value-based version can be added if refund sizes vary a lot.</t>
  </si>
  <si>
    <t xml:space="preserve">KPI-10</t>
  </si>
  <si>
    <t xml:space="preserve">Data Quality Pass Rate</t>
  </si>
  <si>
    <t xml:space="preserve">What share of orders is trustworthy enough to report on?</t>
  </si>
  <si>
    <t xml:space="preserve">COUNT(DISTINCT order_id in clean set) / COUNT(DISTINCT order_id in raw)</t>
  </si>
  <si>
    <t xml:space="preserve">Raw extract before cleaning vs. clean set after the contract rules.</t>
  </si>
  <si>
    <t xml:space="preserve">Data Platform Owner</t>
  </si>
  <si>
    <t xml:space="preserve">Every load (daily, 06:00 IST)</t>
  </si>
  <si>
    <t xml:space="preserve">order_id (raw and clean)</t>
  </si>
  <si>
    <t xml:space="preserve">Contract target: &gt;= 98% in production. This sample is far below target.</t>
  </si>
  <si>
    <t xml:space="preserve">Workbook value (live formula)</t>
  </si>
  <si>
    <t xml:space="preserve">Notebook value (data_profile_notebook.ipynb)</t>
  </si>
  <si>
    <t xml:space="preserve">Match?</t>
  </si>
  <si>
    <t xml:space="preserve">Display format</t>
  </si>
  <si>
    <t xml:space="preserve">0</t>
  </si>
  <si>
    <t xml:space="preserve">#,##0.00</t>
  </si>
  <si>
    <t xml:space="preserve">0.0%</t>
  </si>
  <si>
    <t xml:space="preserve">0.00</t>
  </si>
  <si>
    <t xml:space="preserve">Helper</t>
  </si>
  <si>
    <t xml:space="preserve">Distinct order_ids in Raw_Data</t>
  </si>
  <si>
    <t xml:space="preserve">Raw rows</t>
  </si>
  <si>
    <t xml:space="preserve">Rows in Clean_Data</t>
  </si>
  <si>
    <t xml:space="preserve">Rows in Quarantine</t>
  </si>
  <si>
    <t xml:space="preserve">Duplicates dropped</t>
  </si>
  <si>
    <t xml:space="preserve">Row accounting (raw = clean + quarantine + duplicates)</t>
  </si>
  <si>
    <t xml:space="preserve">Check ID</t>
  </si>
  <si>
    <t xml:space="preserve">Dimension</t>
  </si>
  <si>
    <t xml:space="preserve">Rule</t>
  </si>
  <si>
    <t xml:space="preserve">Column(s)</t>
  </si>
  <si>
    <t xml:space="preserve">Max allowed (threshold)</t>
  </si>
  <si>
    <t xml:space="preserve">Severity</t>
  </si>
  <si>
    <t xml:space="preserve">Rows failed (notebook)</t>
  </si>
  <si>
    <t xml:space="preserve">Measured value (notebook)</t>
  </si>
  <si>
    <t xml:space="preserve">Status</t>
  </si>
  <si>
    <t xml:space="preserve">Escalation action</t>
  </si>
  <si>
    <t xml:space="preserve">C1</t>
  </si>
  <si>
    <t xml:space="preserve">Completeness</t>
  </si>
  <si>
    <t xml:space="preserve">order_date is not null</t>
  </si>
  <si>
    <t xml:space="preserve">order_date</t>
  </si>
  <si>
    <t xml:space="preserve">rate</t>
  </si>
  <si>
    <t xml:space="preserve">P1</t>
  </si>
  <si>
    <t xml:space="preserve">C2</t>
  </si>
  <si>
    <t xml:space="preserve">city is not null</t>
  </si>
  <si>
    <t xml:space="preserve">city</t>
  </si>
  <si>
    <t xml:space="preserve">P2</t>
  </si>
  <si>
    <t xml:space="preserve">C3</t>
  </si>
  <si>
    <t xml:space="preserve">discount_pct is not null (missing is not assumed to be 0)</t>
  </si>
  <si>
    <t xml:space="preserve">discount_pct</t>
  </si>
  <si>
    <t xml:space="preserve">C4</t>
  </si>
  <si>
    <t xml:space="preserve">all other required columns are not null</t>
  </si>
  <si>
    <t xml:space="preserve">order_id, customer_segment, category, quantity, unit_price, payment_status</t>
  </si>
  <si>
    <t xml:space="preserve">U1</t>
  </si>
  <si>
    <t xml:space="preserve">Uniqueness</t>
  </si>
  <si>
    <t xml:space="preserve">order_id appears once</t>
  </si>
  <si>
    <t xml:space="preserve">U2</t>
  </si>
  <si>
    <t xml:space="preserve">no fully duplicated rows</t>
  </si>
  <si>
    <t xml:space="preserve">all columns</t>
  </si>
  <si>
    <t xml:space="preserve">V1</t>
  </si>
  <si>
    <t xml:space="preserve">Validity</t>
  </si>
  <si>
    <t xml:space="preserve">ISO-formatted order_date is a real date between 2025-01-01 and today</t>
  </si>
  <si>
    <t xml:space="preserve">V2</t>
  </si>
  <si>
    <t xml:space="preserve">quantity is a whole number &gt; 0</t>
  </si>
  <si>
    <t xml:space="preserve">quantity</t>
  </si>
  <si>
    <t xml:space="preserve">V3</t>
  </si>
  <si>
    <t xml:space="preserve">unit_price is a non-negative number</t>
  </si>
  <si>
    <t xml:space="preserve">unit_price</t>
  </si>
  <si>
    <t xml:space="preserve">V4</t>
  </si>
  <si>
    <t xml:space="preserve">discount_pct is between 0 and 100</t>
  </si>
  <si>
    <t xml:space="preserve">V5</t>
  </si>
  <si>
    <t xml:space="preserve">category is one of the 3 allowed products</t>
  </si>
  <si>
    <t xml:space="preserve">category</t>
  </si>
  <si>
    <t xml:space="preserve">V6</t>
  </si>
  <si>
    <t xml:space="preserve">segment and payment_status map to an allowed value after normalization</t>
  </si>
  <si>
    <t xml:space="preserve">customer_segment, payment_status</t>
  </si>
  <si>
    <t xml:space="preserve">K1</t>
  </si>
  <si>
    <t xml:space="preserve">Consistency</t>
  </si>
  <si>
    <t xml:space="preserve">customer_segment uses canonical casing</t>
  </si>
  <si>
    <t xml:space="preserve">customer_segment</t>
  </si>
  <si>
    <t xml:space="preserve">P3</t>
  </si>
  <si>
    <t xml:space="preserve">K2</t>
  </si>
  <si>
    <t xml:space="preserve">payment_status uses canonical casing</t>
  </si>
  <si>
    <t xml:space="preserve">payment_status</t>
  </si>
  <si>
    <t xml:space="preserve">K3</t>
  </si>
  <si>
    <t xml:space="preserve">order_date uses one format (YYYY-MM-DD)</t>
  </si>
  <si>
    <t xml:space="preserve">K4</t>
  </si>
  <si>
    <t xml:space="preserve">each category has a single unit_price</t>
  </si>
  <si>
    <t xml:space="preserve">category, unit_price</t>
  </si>
  <si>
    <t xml:space="preserve">K5</t>
  </si>
  <si>
    <t xml:space="preserve">no order_id has conflicting versions</t>
  </si>
  <si>
    <t xml:space="preserve">F1</t>
  </si>
  <si>
    <t xml:space="preserve">Freshness</t>
  </si>
  <si>
    <t xml:space="preserve">newest order is at most 2 days old</t>
  </si>
  <si>
    <t xml:space="preserve">days</t>
  </si>
  <si>
    <t xml:space="preserve">Summary</t>
  </si>
  <si>
    <t xml:space="preserve">Checks run</t>
  </si>
  <si>
    <t xml:space="preserve">Passed</t>
  </si>
  <si>
    <t xml:space="preserve">Failed</t>
  </si>
  <si>
    <t xml:space="preserve">P1 failures</t>
  </si>
  <si>
    <t xml:space="preserve">Contract verdict</t>
  </si>
  <si>
    <t xml:space="preserve">Rates are failing rows / total raw rows (12). Freshness is in days since the newest valid order. Edit a threshold in column F and the status recalculates.</t>
  </si>
  <si>
    <t xml:space="preserve">RT-1001</t>
  </si>
  <si>
    <t xml:space="preserve">2026-01-03</t>
  </si>
  <si>
    <t xml:space="preserve">Student</t>
  </si>
  <si>
    <t xml:space="preserve">Chennai</t>
  </si>
  <si>
    <t xml:space="preserve">Learning Kit</t>
  </si>
  <si>
    <t xml:space="preserve">2</t>
  </si>
  <si>
    <t xml:space="preserve">799</t>
  </si>
  <si>
    <t xml:space="preserve">10</t>
  </si>
  <si>
    <t xml:space="preserve">Paid</t>
  </si>
  <si>
    <t xml:space="preserve">RT-1002</t>
  </si>
  <si>
    <t xml:space="preserve">03/01/2026</t>
  </si>
  <si>
    <t xml:space="preserve">Fresher</t>
  </si>
  <si>
    <t xml:space="preserve">Bengaluru</t>
  </si>
  <si>
    <t xml:space="preserve">Course Access</t>
  </si>
  <si>
    <t xml:space="preserve">1</t>
  </si>
  <si>
    <t xml:space="preserve">1499</t>
  </si>
  <si>
    <t xml:space="preserve">paid</t>
  </si>
  <si>
    <t xml:space="preserve">RT-1003</t>
  </si>
  <si>
    <t xml:space="preserve">2026-01-05</t>
  </si>
  <si>
    <t xml:space="preserve">student</t>
  </si>
  <si>
    <t xml:space="preserve">Pending</t>
  </si>
  <si>
    <t xml:space="preserve">RT-1004</t>
  </si>
  <si>
    <t xml:space="preserve">2026-01-07</t>
  </si>
  <si>
    <t xml:space="preserve">Professional</t>
  </si>
  <si>
    <t xml:space="preserve">Hyderabad</t>
  </si>
  <si>
    <t xml:space="preserve">3</t>
  </si>
  <si>
    <t xml:space="preserve">5</t>
  </si>
  <si>
    <t xml:space="preserve">RT-1005</t>
  </si>
  <si>
    <t xml:space="preserve">2026-01-09</t>
  </si>
  <si>
    <t xml:space="preserve">Mentor Session</t>
  </si>
  <si>
    <t xml:space="preserve">999</t>
  </si>
  <si>
    <t xml:space="preserve">RT-1006</t>
  </si>
  <si>
    <t xml:space="preserve">2026-13-10</t>
  </si>
  <si>
    <t xml:space="preserve">Pune</t>
  </si>
  <si>
    <t xml:space="preserve">-1</t>
  </si>
  <si>
    <t xml:space="preserve">RT-1007</t>
  </si>
  <si>
    <t xml:space="preserve">2026-01-12</t>
  </si>
  <si>
    <t xml:space="preserve">Mumbai</t>
  </si>
  <si>
    <t xml:space="preserve">105</t>
  </si>
  <si>
    <t xml:space="preserve">RT-1008</t>
  </si>
  <si>
    <t xml:space="preserve">2026-01-14</t>
  </si>
  <si>
    <t xml:space="preserve">two</t>
  </si>
  <si>
    <t xml:space="preserve">RT-1009</t>
  </si>
  <si>
    <t xml:space="preserve">2026-01-16</t>
  </si>
  <si>
    <t xml:space="preserve">RT-1010</t>
  </si>
  <si>
    <t xml:space="preserve">2026-01-18</t>
  </si>
  <si>
    <t xml:space="preserve">Delhi</t>
  </si>
  <si>
    <t xml:space="preserve">15</t>
  </si>
  <si>
    <t xml:space="preserve">Refunded</t>
  </si>
  <si>
    <t xml:space="preserve">RT-1011</t>
  </si>
  <si>
    <t xml:space="preserve">Kochi</t>
  </si>
  <si>
    <t xml:space="preserve">repair_note</t>
  </si>
  <si>
    <t xml:space="preserve">gross_value</t>
  </si>
  <si>
    <t xml:space="preserve">discount_amount</t>
  </si>
  <si>
    <t xml:space="preserve">net_value</t>
  </si>
  <si>
    <t xml:space="preserve">Note: to add rows, paste below the last row and copy formulas in K:M down. KPI formulas read rows 2-500.</t>
  </si>
  <si>
    <t xml:space="preserve">date repaired from DD/MM/YYYY</t>
  </si>
  <si>
    <t xml:space="preserve">city missing (non-blocking)</t>
  </si>
  <si>
    <t xml:space="preserve">source_row</t>
  </si>
  <si>
    <t xml:space="preserve">reject_reason</t>
  </si>
  <si>
    <t xml:space="preserve">discount_pct missing (no justification on file)</t>
  </si>
  <si>
    <t xml:space="preserve">invalid calendar date '2026-13-10'; quantity must be a whole number &gt; 0 (-1)</t>
  </si>
  <si>
    <t xml:space="preserve">discount_pct out of range (105)</t>
  </si>
  <si>
    <t xml:space="preserve">quantity not numeric ('two')</t>
  </si>
  <si>
    <t xml:space="preserve">missing order_date</t>
  </si>
  <si>
    <t xml:space="preserve">Also removed: 1 exact duplicate of RT-1004 (source row 6), dropped before KPI calculation.</t>
  </si>
  <si>
    <t xml:space="preserve">Meaning</t>
  </si>
  <si>
    <t xml:space="preserve">Automatic action</t>
  </si>
  <si>
    <t xml:space="preserve">Notify</t>
  </si>
  <si>
    <t xml:space="preserve">Response time</t>
  </si>
  <si>
    <t xml:space="preserve">Resolution deadline</t>
  </si>
  <si>
    <t xml:space="preserve">Wrong or missing data that changes KPI values or stops them being computed.</t>
  </si>
  <si>
    <t xml:space="preserve">BLOCK: stop the dashboard refresh and keep the last good snapshot with a 'data on hold' banner.</t>
  </si>
  <si>
    <t xml:space="preserve">Page the Data Platform Owner; email the Decision Owner (Head of Growth &amp; Revenue Ops).</t>
  </si>
  <si>
    <t xml:space="preserve">Within 4 business hours</t>
  </si>
  <si>
    <t xml:space="preserve">Fix at source, or a written exception signed by the Decision Owner, within 1 business day.</t>
  </si>
  <si>
    <t xml:space="preserve">Quality problem that affects part of the analysis (e.g. a city breakdown) but not headline revenue.</t>
  </si>
  <si>
    <t xml:space="preserve">WARN: publish with a visible data-quality warning; affected rows flagged.</t>
  </si>
  <si>
    <t xml:space="preserve">Ticket to the source-system owner; summary in the daily DQ digest.</t>
  </si>
  <si>
    <t xml:space="preserve">Within 1 business day</t>
  </si>
  <si>
    <t xml:space="preserve">Fix within 3 business days.</t>
  </si>
  <si>
    <t xml:space="preserve">Cosmetic or auto-fixable inconsistency (e.g. casing).</t>
  </si>
  <si>
    <t xml:space="preserve">AUTO-FIX: normalize in the pipeline and log the change.</t>
  </si>
  <si>
    <t xml:space="preserve">Weekly DQ review.</t>
  </si>
  <si>
    <t xml:space="preserve">Next weekly review</t>
  </si>
  <si>
    <t xml:space="preserve">Fix at source within 2 weeks.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</si>
</sst>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#,##0.00"/>
    <numFmt numFmtId="167" formatCode="0.0%"/>
    <numFmt numFmtId="168" formatCode="0.00"/>
    <numFmt numFmtId="169" formatCode="@"/>
    <numFmt numFmtId="170" formatCode="yyyy\-mm\-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23.8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/>
      <c r="B6" s="3"/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2" t="s">
        <v>9</v>
      </c>
      <c r="B8" s="3" t="s">
        <v>10</v>
      </c>
    </row>
    <row r="9" customFormat="false" ht="15" hidden="false" customHeight="false" outlineLevel="0" collapsed="false">
      <c r="A9" s="2" t="s">
        <v>11</v>
      </c>
      <c r="B9" s="3" t="s">
        <v>12</v>
      </c>
    </row>
    <row r="10" customFormat="false" ht="15" hidden="false" customHeight="false" outlineLevel="0" collapsed="false">
      <c r="A10" s="2" t="s">
        <v>13</v>
      </c>
      <c r="B10" s="3" t="s">
        <v>14</v>
      </c>
    </row>
    <row r="11" customFormat="false" ht="15" hidden="false" customHeight="false" outlineLevel="0" collapsed="false">
      <c r="A11" s="2" t="s">
        <v>15</v>
      </c>
      <c r="B11" s="3" t="s">
        <v>16</v>
      </c>
    </row>
    <row r="12" customFormat="false" ht="15" hidden="false" customHeight="false" outlineLevel="0" collapsed="false">
      <c r="A12" s="2" t="s">
        <v>17</v>
      </c>
      <c r="B12" s="3" t="s">
        <v>18</v>
      </c>
    </row>
    <row r="13" customFormat="false" ht="15" hidden="false" customHeight="false" outlineLevel="0" collapsed="false">
      <c r="A13" s="2" t="s">
        <v>19</v>
      </c>
      <c r="B13" s="3" t="s">
        <v>20</v>
      </c>
    </row>
    <row r="14" customFormat="false" ht="15" hidden="false" customHeight="false" outlineLevel="0" collapsed="false">
      <c r="A14" s="2" t="s">
        <v>21</v>
      </c>
      <c r="B14" s="3" t="s">
        <v>22</v>
      </c>
    </row>
    <row r="15" customFormat="false" ht="15" hidden="false" customHeight="false" outlineLevel="0" collapsed="false">
      <c r="A15" s="2"/>
      <c r="B15" s="3"/>
    </row>
    <row r="16" customFormat="false" ht="15" hidden="false" customHeight="false" outlineLevel="0" collapsed="false">
      <c r="A16" s="2" t="s">
        <v>23</v>
      </c>
      <c r="B16" s="3" t="s">
        <v>24</v>
      </c>
    </row>
    <row r="17" customFormat="false" ht="15" hidden="false" customHeight="false" outlineLevel="0" collapsed="false">
      <c r="A17" s="2" t="s">
        <v>25</v>
      </c>
      <c r="B17" s="3" t="s">
        <v>26</v>
      </c>
    </row>
    <row r="18" customFormat="false" ht="35.05" hidden="false" customHeight="false" outlineLevel="0" collapsed="false">
      <c r="A18" s="2" t="s">
        <v>27</v>
      </c>
      <c r="B18" s="3" t="s">
        <v>28</v>
      </c>
    </row>
    <row r="19" customFormat="false" ht="15" hidden="false" customHeight="false" outlineLevel="0" collapsed="false">
      <c r="A19" s="2" t="s">
        <v>29</v>
      </c>
      <c r="B19" s="3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36"/>
    <col collapsed="false" customWidth="true" hidden="false" outlineLevel="0" max="4" min="4" style="0" width="46"/>
    <col collapsed="false" customWidth="true" hidden="false" outlineLevel="0" max="5" min="5" style="0" width="18"/>
    <col collapsed="false" customWidth="true" hidden="false" outlineLevel="0" max="6" min="6" style="0" width="44"/>
    <col collapsed="false" customWidth="true" hidden="false" outlineLevel="0" max="7" min="7" style="0" width="13"/>
    <col collapsed="false" customWidth="true" hidden="false" outlineLevel="0" max="8" min="8" style="0" width="26"/>
    <col collapsed="false" customWidth="true" hidden="false" outlineLevel="0" max="9" min="9" style="0" width="22"/>
    <col collapsed="false" customWidth="true" hidden="false" outlineLevel="0" max="10" min="10" style="0" width="26"/>
    <col collapsed="false" customWidth="true" hidden="false" outlineLevel="0" max="11" min="11" style="0" width="16"/>
    <col collapsed="false" customWidth="true" hidden="false" outlineLevel="0" max="12" min="12" style="0" width="52"/>
  </cols>
  <sheetData>
    <row r="1" customFormat="false" ht="23.85" hidden="false" customHeight="false" outlineLevel="0" collapsed="false">
      <c r="A1" s="6" t="s">
        <v>31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  <c r="L1" s="6" t="s">
        <v>42</v>
      </c>
    </row>
    <row r="2" customFormat="false" ht="23.85" hidden="false" customHeight="false" outlineLevel="0" collapsed="false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  <c r="J2" s="3" t="s">
        <v>52</v>
      </c>
      <c r="K2" s="7" t="n">
        <f aca="false">KPI_Check!C2</f>
        <v>6</v>
      </c>
      <c r="L2" s="3" t="s">
        <v>53</v>
      </c>
    </row>
    <row r="3" customFormat="false" ht="23.85" hidden="false" customHeight="false" outlineLevel="0" collapsed="false">
      <c r="A3" s="3" t="s">
        <v>54</v>
      </c>
      <c r="B3" s="3" t="s">
        <v>55</v>
      </c>
      <c r="C3" s="3" t="s">
        <v>56</v>
      </c>
      <c r="D3" s="3" t="s">
        <v>57</v>
      </c>
      <c r="E3" s="3" t="s">
        <v>58</v>
      </c>
      <c r="F3" s="3" t="s">
        <v>59</v>
      </c>
      <c r="G3" s="3" t="s">
        <v>60</v>
      </c>
      <c r="H3" s="3" t="s">
        <v>61</v>
      </c>
      <c r="I3" s="3" t="s">
        <v>51</v>
      </c>
      <c r="J3" s="3" t="s">
        <v>62</v>
      </c>
      <c r="K3" s="8" t="n">
        <f aca="false">KPI_Check!C3</f>
        <v>9291</v>
      </c>
      <c r="L3" s="3" t="s">
        <v>63</v>
      </c>
    </row>
    <row r="4" customFormat="false" ht="23.85" hidden="false" customHeight="false" outlineLevel="0" collapsed="false">
      <c r="A4" s="3" t="s">
        <v>64</v>
      </c>
      <c r="B4" s="3" t="s">
        <v>65</v>
      </c>
      <c r="C4" s="3" t="s">
        <v>66</v>
      </c>
      <c r="D4" s="3" t="s">
        <v>67</v>
      </c>
      <c r="E4" s="3" t="s">
        <v>58</v>
      </c>
      <c r="F4" s="3" t="s">
        <v>68</v>
      </c>
      <c r="G4" s="3" t="s">
        <v>60</v>
      </c>
      <c r="H4" s="3" t="s">
        <v>69</v>
      </c>
      <c r="I4" s="3" t="s">
        <v>51</v>
      </c>
      <c r="J4" s="3" t="s">
        <v>70</v>
      </c>
      <c r="K4" s="8" t="n">
        <f aca="false">KPI_Check!C4</f>
        <v>729.35</v>
      </c>
      <c r="L4" s="3" t="s">
        <v>71</v>
      </c>
    </row>
    <row r="5" customFormat="false" ht="23.85" hidden="false" customHeight="false" outlineLevel="0" collapsed="false">
      <c r="A5" s="3" t="s">
        <v>72</v>
      </c>
      <c r="B5" s="3" t="s">
        <v>73</v>
      </c>
      <c r="C5" s="3" t="s">
        <v>74</v>
      </c>
      <c r="D5" s="3" t="s">
        <v>75</v>
      </c>
      <c r="E5" s="3" t="s">
        <v>76</v>
      </c>
      <c r="F5" s="3" t="s">
        <v>77</v>
      </c>
      <c r="G5" s="3" t="s">
        <v>78</v>
      </c>
      <c r="H5" s="3" t="s">
        <v>69</v>
      </c>
      <c r="I5" s="3" t="s">
        <v>51</v>
      </c>
      <c r="J5" s="3" t="s">
        <v>79</v>
      </c>
      <c r="K5" s="9" t="n">
        <f aca="false">KPI_Check!C5</f>
        <v>0.0785006996017651</v>
      </c>
      <c r="L5" s="3" t="s">
        <v>80</v>
      </c>
    </row>
    <row r="6" customFormat="false" ht="23.85" hidden="false" customHeight="false" outlineLevel="0" collapsed="false">
      <c r="A6" s="3" t="s">
        <v>81</v>
      </c>
      <c r="B6" s="3" t="s">
        <v>82</v>
      </c>
      <c r="C6" s="3" t="s">
        <v>83</v>
      </c>
      <c r="D6" s="3" t="s">
        <v>84</v>
      </c>
      <c r="E6" s="3" t="s">
        <v>58</v>
      </c>
      <c r="F6" s="3" t="s">
        <v>85</v>
      </c>
      <c r="G6" s="3" t="s">
        <v>60</v>
      </c>
      <c r="H6" s="3" t="s">
        <v>61</v>
      </c>
      <c r="I6" s="3" t="s">
        <v>51</v>
      </c>
      <c r="J6" s="3" t="s">
        <v>86</v>
      </c>
      <c r="K6" s="8" t="n">
        <f aca="false">KPI_Check!C6</f>
        <v>6013.35</v>
      </c>
      <c r="L6" s="3" t="s">
        <v>87</v>
      </c>
    </row>
    <row r="7" customFormat="false" ht="23.85" hidden="false" customHeight="false" outlineLevel="0" collapsed="false">
      <c r="A7" s="3" t="s">
        <v>88</v>
      </c>
      <c r="B7" s="3" t="s">
        <v>89</v>
      </c>
      <c r="C7" s="3" t="s">
        <v>90</v>
      </c>
      <c r="D7" s="3" t="s">
        <v>91</v>
      </c>
      <c r="E7" s="3" t="s">
        <v>58</v>
      </c>
      <c r="F7" s="3" t="s">
        <v>92</v>
      </c>
      <c r="G7" s="3" t="s">
        <v>93</v>
      </c>
      <c r="H7" s="3" t="s">
        <v>94</v>
      </c>
      <c r="I7" s="3" t="s">
        <v>51</v>
      </c>
      <c r="J7" s="3" t="s">
        <v>95</v>
      </c>
      <c r="K7" s="8" t="n">
        <f aca="false">KPI_Check!C7</f>
        <v>1503.3375</v>
      </c>
      <c r="L7" s="3" t="s">
        <v>96</v>
      </c>
    </row>
    <row r="8" customFormat="false" ht="23.85" hidden="false" customHeight="false" outlineLevel="0" collapsed="false">
      <c r="A8" s="3" t="s">
        <v>97</v>
      </c>
      <c r="B8" s="3" t="s">
        <v>98</v>
      </c>
      <c r="C8" s="3" t="s">
        <v>99</v>
      </c>
      <c r="D8" s="3" t="s">
        <v>100</v>
      </c>
      <c r="E8" s="3" t="s">
        <v>58</v>
      </c>
      <c r="F8" s="3" t="s">
        <v>92</v>
      </c>
      <c r="G8" s="3" t="s">
        <v>101</v>
      </c>
      <c r="H8" s="3" t="s">
        <v>94</v>
      </c>
      <c r="I8" s="3" t="s">
        <v>51</v>
      </c>
      <c r="J8" s="3" t="s">
        <v>102</v>
      </c>
      <c r="K8" s="10" t="n">
        <f aca="false">KPI_Check!C8</f>
        <v>1.75</v>
      </c>
      <c r="L8" s="3" t="s">
        <v>103</v>
      </c>
    </row>
    <row r="9" customFormat="false" ht="23.85" hidden="false" customHeight="false" outlineLevel="0" collapsed="false">
      <c r="A9" s="3" t="s">
        <v>104</v>
      </c>
      <c r="B9" s="3" t="s">
        <v>105</v>
      </c>
      <c r="C9" s="3" t="s">
        <v>106</v>
      </c>
      <c r="D9" s="3" t="s">
        <v>107</v>
      </c>
      <c r="E9" s="3" t="s">
        <v>58</v>
      </c>
      <c r="F9" s="3" t="s">
        <v>108</v>
      </c>
      <c r="G9" s="3" t="s">
        <v>78</v>
      </c>
      <c r="H9" s="3" t="s">
        <v>109</v>
      </c>
      <c r="I9" s="3" t="s">
        <v>51</v>
      </c>
      <c r="J9" s="3" t="s">
        <v>110</v>
      </c>
      <c r="K9" s="9" t="n">
        <f aca="false">KPI_Check!C9</f>
        <v>0.8</v>
      </c>
      <c r="L9" s="3" t="s">
        <v>111</v>
      </c>
    </row>
    <row r="10" customFormat="false" ht="23.85" hidden="false" customHeight="false" outlineLevel="0" collapsed="false">
      <c r="A10" s="3" t="s">
        <v>112</v>
      </c>
      <c r="B10" s="3" t="s">
        <v>113</v>
      </c>
      <c r="C10" s="3" t="s">
        <v>114</v>
      </c>
      <c r="D10" s="3" t="s">
        <v>115</v>
      </c>
      <c r="E10" s="3" t="s">
        <v>58</v>
      </c>
      <c r="F10" s="3" t="s">
        <v>116</v>
      </c>
      <c r="G10" s="3" t="s">
        <v>78</v>
      </c>
      <c r="H10" s="3" t="s">
        <v>117</v>
      </c>
      <c r="I10" s="3" t="s">
        <v>118</v>
      </c>
      <c r="J10" s="3" t="s">
        <v>110</v>
      </c>
      <c r="K10" s="9" t="n">
        <f aca="false">KPI_Check!C10</f>
        <v>0.2</v>
      </c>
      <c r="L10" s="3" t="s">
        <v>119</v>
      </c>
    </row>
    <row r="11" customFormat="false" ht="23.85" hidden="false" customHeight="false" outlineLevel="0" collapsed="false">
      <c r="A11" s="3" t="s">
        <v>120</v>
      </c>
      <c r="B11" s="3" t="s">
        <v>121</v>
      </c>
      <c r="C11" s="3" t="s">
        <v>122</v>
      </c>
      <c r="D11" s="3" t="s">
        <v>123</v>
      </c>
      <c r="E11" s="3" t="s">
        <v>58</v>
      </c>
      <c r="F11" s="3" t="s">
        <v>124</v>
      </c>
      <c r="G11" s="3" t="s">
        <v>78</v>
      </c>
      <c r="H11" s="3" t="s">
        <v>125</v>
      </c>
      <c r="I11" s="3" t="s">
        <v>126</v>
      </c>
      <c r="J11" s="3" t="s">
        <v>127</v>
      </c>
      <c r="K11" s="9" t="n">
        <f aca="false">KPI_Check!C11</f>
        <v>0.545454545454545</v>
      </c>
      <c r="L11" s="3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23.85" hidden="false" customHeight="false" outlineLevel="0" collapsed="false">
      <c r="A1" s="6" t="s">
        <v>31</v>
      </c>
      <c r="B1" s="6" t="s">
        <v>32</v>
      </c>
      <c r="C1" s="6" t="s">
        <v>129</v>
      </c>
      <c r="D1" s="6" t="s">
        <v>130</v>
      </c>
      <c r="E1" s="6" t="s">
        <v>131</v>
      </c>
      <c r="F1" s="6" t="s">
        <v>132</v>
      </c>
    </row>
    <row r="2" customFormat="false" ht="15" hidden="false" customHeight="false" outlineLevel="0" collapsed="false">
      <c r="A2" s="3" t="s">
        <v>43</v>
      </c>
      <c r="B2" s="3" t="s">
        <v>44</v>
      </c>
      <c r="C2" s="11" t="n">
        <f aca="false">COUNTA(Clean_Data!$A$2:$A$500)</f>
        <v>6</v>
      </c>
      <c r="D2" s="12" t="n">
        <v>6</v>
      </c>
      <c r="E2" s="3" t="str">
        <f aca="false">IF(ABS(C2-D2)&lt;0.001,"OK","CHECK")</f>
        <v>OK</v>
      </c>
      <c r="F2" s="13" t="s">
        <v>133</v>
      </c>
    </row>
    <row r="3" customFormat="false" ht="15" hidden="false" customHeight="false" outlineLevel="0" collapsed="false">
      <c r="A3" s="3" t="s">
        <v>54</v>
      </c>
      <c r="B3" s="3" t="s">
        <v>55</v>
      </c>
      <c r="C3" s="14" t="n">
        <f aca="false">SUMIFS(Clean_Data!$K$2:$K$500,Clean_Data!$I$2:$I$500,"&lt;&gt;Failed")</f>
        <v>9291</v>
      </c>
      <c r="D3" s="15" t="n">
        <v>9291</v>
      </c>
      <c r="E3" s="3" t="str">
        <f aca="false">IF(ABS(C3-D3)&lt;0.001,"OK","CHECK")</f>
        <v>OK</v>
      </c>
      <c r="F3" s="13" t="s">
        <v>134</v>
      </c>
    </row>
    <row r="4" customFormat="false" ht="15" hidden="false" customHeight="false" outlineLevel="0" collapsed="false">
      <c r="A4" s="3" t="s">
        <v>64</v>
      </c>
      <c r="B4" s="3" t="s">
        <v>65</v>
      </c>
      <c r="C4" s="14" t="n">
        <f aca="false">SUMIFS(Clean_Data!$L$2:$L$500,Clean_Data!$I$2:$I$500,"&lt;&gt;Failed")</f>
        <v>729.35</v>
      </c>
      <c r="D4" s="15" t="n">
        <v>729.35</v>
      </c>
      <c r="E4" s="3" t="str">
        <f aca="false">IF(ABS(C4-D4)&lt;0.001,"OK","CHECK")</f>
        <v>OK</v>
      </c>
      <c r="F4" s="13" t="s">
        <v>134</v>
      </c>
    </row>
    <row r="5" customFormat="false" ht="15" hidden="false" customHeight="false" outlineLevel="0" collapsed="false">
      <c r="A5" s="3" t="s">
        <v>72</v>
      </c>
      <c r="B5" s="3" t="s">
        <v>73</v>
      </c>
      <c r="C5" s="16" t="n">
        <f aca="false">IF(C3=0,0,C4/C3)</f>
        <v>0.0785006996017651</v>
      </c>
      <c r="D5" s="17" t="n">
        <v>0.0785</v>
      </c>
      <c r="E5" s="3" t="str">
        <f aca="false">IF(ABS(C5-D5)&lt;0.001,"OK","CHECK")</f>
        <v>OK</v>
      </c>
      <c r="F5" s="13" t="s">
        <v>135</v>
      </c>
    </row>
    <row r="6" customFormat="false" ht="15" hidden="false" customHeight="false" outlineLevel="0" collapsed="false">
      <c r="A6" s="3" t="s">
        <v>81</v>
      </c>
      <c r="B6" s="3" t="s">
        <v>82</v>
      </c>
      <c r="C6" s="14" t="n">
        <f aca="false">SUMIFS(Clean_Data!$M$2:$M$500,Clean_Data!$I$2:$I$500,"Paid")</f>
        <v>6013.35</v>
      </c>
      <c r="D6" s="15" t="n">
        <v>6013.35</v>
      </c>
      <c r="E6" s="3" t="str">
        <f aca="false">IF(ABS(C6-D6)&lt;0.001,"OK","CHECK")</f>
        <v>OK</v>
      </c>
      <c r="F6" s="13" t="s">
        <v>134</v>
      </c>
    </row>
    <row r="7" customFormat="false" ht="15" hidden="false" customHeight="false" outlineLevel="0" collapsed="false">
      <c r="A7" s="3" t="s">
        <v>88</v>
      </c>
      <c r="B7" s="3" t="s">
        <v>89</v>
      </c>
      <c r="C7" s="14" t="n">
        <f aca="false">IF(COUNTIFS(Clean_Data!$I$2:$I$500,"Paid")=0,0,C6/COUNTIFS(Clean_Data!$I$2:$I$500,"Paid"))</f>
        <v>1503.3375</v>
      </c>
      <c r="D7" s="15" t="n">
        <v>1503.3375</v>
      </c>
      <c r="E7" s="3" t="str">
        <f aca="false">IF(ABS(C7-D7)&lt;0.001,"OK","CHECK")</f>
        <v>OK</v>
      </c>
      <c r="F7" s="13" t="s">
        <v>134</v>
      </c>
    </row>
    <row r="8" customFormat="false" ht="15" hidden="false" customHeight="false" outlineLevel="0" collapsed="false">
      <c r="A8" s="3" t="s">
        <v>97</v>
      </c>
      <c r="B8" s="3" t="s">
        <v>98</v>
      </c>
      <c r="C8" s="18" t="n">
        <f aca="false">IF(COUNTIFS(Clean_Data!$I$2:$I$500,"Paid")=0,0,SUMIFS(Clean_Data!$F$2:$F$500,Clean_Data!$I$2:$I$500,"Paid")/COUNTIFS(Clean_Data!$I$2:$I$500,"Paid"))</f>
        <v>1.75</v>
      </c>
      <c r="D8" s="19" t="n">
        <v>1.75</v>
      </c>
      <c r="E8" s="3" t="str">
        <f aca="false">IF(ABS(C8-D8)&lt;0.001,"OK","CHECK")</f>
        <v>OK</v>
      </c>
      <c r="F8" s="13" t="s">
        <v>136</v>
      </c>
    </row>
    <row r="9" customFormat="false" ht="15" hidden="false" customHeight="false" outlineLevel="0" collapsed="false">
      <c r="A9" s="3" t="s">
        <v>104</v>
      </c>
      <c r="B9" s="3" t="s">
        <v>105</v>
      </c>
      <c r="C9" s="16" t="n">
        <f aca="false">IF(COUNTIFS(Clean_Data!$I$2:$I$500,"Paid")+COUNTIFS(Clean_Data!$I$2:$I$500,"Failed")=0,0,COUNTIFS(Clean_Data!$I$2:$I$500,"Paid")/(COUNTIFS(Clean_Data!$I$2:$I$500,"Paid")+COUNTIFS(Clean_Data!$I$2:$I$500,"Failed")))</f>
        <v>0.8</v>
      </c>
      <c r="D9" s="17" t="n">
        <v>0.8</v>
      </c>
      <c r="E9" s="3" t="str">
        <f aca="false">IF(ABS(C9-D9)&lt;0.001,"OK","CHECK")</f>
        <v>OK</v>
      </c>
      <c r="F9" s="13" t="s">
        <v>135</v>
      </c>
    </row>
    <row r="10" customFormat="false" ht="15" hidden="false" customHeight="false" outlineLevel="0" collapsed="false">
      <c r="A10" s="3" t="s">
        <v>112</v>
      </c>
      <c r="B10" s="3" t="s">
        <v>113</v>
      </c>
      <c r="C10" s="16" t="n">
        <f aca="false">IF(COUNTIFS(Clean_Data!$I$2:$I$500,"Paid")+COUNTIFS(Clean_Data!$I$2:$I$500,"Refunded")=0,0,COUNTIFS(Clean_Data!$I$2:$I$500,"Refunded")/(COUNTIFS(Clean_Data!$I$2:$I$500,"Paid")+COUNTIFS(Clean_Data!$I$2:$I$500,"Refunded")))</f>
        <v>0.2</v>
      </c>
      <c r="D10" s="17" t="n">
        <v>0.2</v>
      </c>
      <c r="E10" s="3" t="str">
        <f aca="false">IF(ABS(C10-D10)&lt;0.001,"OK","CHECK")</f>
        <v>OK</v>
      </c>
      <c r="F10" s="13" t="s">
        <v>135</v>
      </c>
    </row>
    <row r="11" customFormat="false" ht="15" hidden="false" customHeight="false" outlineLevel="0" collapsed="false">
      <c r="A11" s="3" t="s">
        <v>120</v>
      </c>
      <c r="B11" s="3" t="s">
        <v>121</v>
      </c>
      <c r="C11" s="16" t="n">
        <f aca="false">IF(C14=0,0,C2/C14)</f>
        <v>0.545454545454545</v>
      </c>
      <c r="D11" s="17" t="n">
        <v>0.5455</v>
      </c>
      <c r="E11" s="3" t="str">
        <f aca="false">IF(ABS(C11-D11)&lt;0.001,"OK","CHECK")</f>
        <v>OK</v>
      </c>
      <c r="F11" s="13" t="s">
        <v>135</v>
      </c>
    </row>
    <row r="13" customFormat="false" ht="15" hidden="false" customHeight="false" outlineLevel="0" collapsed="false">
      <c r="A13" s="3" t="s">
        <v>137</v>
      </c>
    </row>
    <row r="14" customFormat="false" ht="15" hidden="false" customHeight="false" outlineLevel="0" collapsed="false">
      <c r="A14" s="3" t="s">
        <v>138</v>
      </c>
      <c r="C14" s="11" t="n">
        <f aca="false">SUMPRODUCT((Raw_Data!$A$2:$A$13&lt;&gt;"")/COUNTIF(Raw_Data!$A$2:$A$13,Raw_Data!$A$2:$A$13&amp;""))</f>
        <v>11</v>
      </c>
    </row>
    <row r="15" customFormat="false" ht="15" hidden="false" customHeight="false" outlineLevel="0" collapsed="false">
      <c r="A15" s="3" t="s">
        <v>139</v>
      </c>
      <c r="C15" s="3" t="n">
        <f aca="false">COUNTA(Raw_Data!$A$2:$A$13)</f>
        <v>12</v>
      </c>
    </row>
    <row r="16" customFormat="false" ht="15" hidden="false" customHeight="false" outlineLevel="0" collapsed="false">
      <c r="A16" s="3" t="s">
        <v>140</v>
      </c>
      <c r="C16" s="3" t="n">
        <f aca="false">COUNTA(Clean_Data!$A$2:$A$500)</f>
        <v>6</v>
      </c>
    </row>
    <row r="17" customFormat="false" ht="15" hidden="false" customHeight="false" outlineLevel="0" collapsed="false">
      <c r="A17" s="3" t="s">
        <v>141</v>
      </c>
      <c r="C17" s="3" t="n">
        <f aca="false">COUNTA(Quarantine!$B$2:$B$100)</f>
        <v>5</v>
      </c>
    </row>
    <row r="18" customFormat="false" ht="15" hidden="false" customHeight="false" outlineLevel="0" collapsed="false">
      <c r="A18" s="3" t="s">
        <v>142</v>
      </c>
      <c r="C18" s="3" t="n">
        <f aca="false">C15-C16-C17</f>
        <v>1</v>
      </c>
    </row>
    <row r="19" customFormat="false" ht="23.85" hidden="false" customHeight="false" outlineLevel="0" collapsed="false">
      <c r="A19" s="3" t="s">
        <v>143</v>
      </c>
      <c r="C19" s="3" t="str">
        <f aca="false">IF(C18&gt;=0,"OK","CHECK")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9"/>
    <col collapsed="false" customWidth="true" hidden="false" outlineLevel="0" max="11" min="11" style="0" width="60"/>
  </cols>
  <sheetData>
    <row r="1" customFormat="false" ht="35.05" hidden="false" customHeight="false" outlineLevel="0" collapsed="false">
      <c r="A1" s="6" t="s">
        <v>144</v>
      </c>
      <c r="B1" s="6" t="s">
        <v>145</v>
      </c>
      <c r="C1" s="6" t="s">
        <v>146</v>
      </c>
      <c r="D1" s="6" t="s">
        <v>147</v>
      </c>
      <c r="E1" s="6" t="s">
        <v>37</v>
      </c>
      <c r="F1" s="6" t="s">
        <v>148</v>
      </c>
      <c r="G1" s="6" t="s">
        <v>149</v>
      </c>
      <c r="H1" s="6" t="s">
        <v>150</v>
      </c>
      <c r="I1" s="6" t="s">
        <v>151</v>
      </c>
      <c r="J1" s="6" t="s">
        <v>152</v>
      </c>
      <c r="K1" s="6" t="s">
        <v>153</v>
      </c>
    </row>
    <row r="2" customFormat="false" ht="23.85" hidden="false" customHeight="false" outlineLevel="0" collapsed="false">
      <c r="A2" s="3" t="s">
        <v>154</v>
      </c>
      <c r="B2" s="3" t="s">
        <v>155</v>
      </c>
      <c r="C2" s="3" t="s">
        <v>156</v>
      </c>
      <c r="D2" s="3" t="s">
        <v>157</v>
      </c>
      <c r="E2" s="3" t="s">
        <v>158</v>
      </c>
      <c r="F2" s="17" t="n">
        <v>0</v>
      </c>
      <c r="G2" s="20" t="s">
        <v>159</v>
      </c>
      <c r="H2" s="21" t="n">
        <v>1</v>
      </c>
      <c r="I2" s="17" t="n">
        <v>0.0833</v>
      </c>
      <c r="J2" s="3" t="str">
        <f aca="false">IF(I2&lt;=F2,"PASS","FAIL")</f>
        <v>FAIL</v>
      </c>
      <c r="K2" s="3" t="str">
        <f aca="false">INDEX(Severity_Escalation!$C$2:$C$4,MATCH(G2,Severity_Escalation!$A$2:$A$4,0))</f>
        <v>BLOCK: stop the dashboard refresh and keep the last good snapshot with a 'data on hold' banner.</v>
      </c>
    </row>
    <row r="3" customFormat="false" ht="15" hidden="false" customHeight="false" outlineLevel="0" collapsed="false">
      <c r="A3" s="3" t="s">
        <v>160</v>
      </c>
      <c r="B3" s="3" t="s">
        <v>155</v>
      </c>
      <c r="C3" s="3" t="s">
        <v>161</v>
      </c>
      <c r="D3" s="3" t="s">
        <v>162</v>
      </c>
      <c r="E3" s="3" t="s">
        <v>158</v>
      </c>
      <c r="F3" s="17" t="n">
        <v>0.02</v>
      </c>
      <c r="G3" s="22" t="s">
        <v>163</v>
      </c>
      <c r="H3" s="21" t="n">
        <v>1</v>
      </c>
      <c r="I3" s="17" t="n">
        <v>0.0833</v>
      </c>
      <c r="J3" s="3" t="str">
        <f aca="false">IF(I3&lt;=F3,"PASS","FAIL")</f>
        <v>FAIL</v>
      </c>
      <c r="K3" s="3" t="str">
        <f aca="false">INDEX(Severity_Escalation!$C$2:$C$4,MATCH(G3,Severity_Escalation!$A$2:$A$4,0))</f>
        <v>WARN: publish with a visible data-quality warning; affected rows flagged.</v>
      </c>
    </row>
    <row r="4" customFormat="false" ht="15" hidden="false" customHeight="false" outlineLevel="0" collapsed="false">
      <c r="A4" s="3" t="s">
        <v>164</v>
      </c>
      <c r="B4" s="3" t="s">
        <v>155</v>
      </c>
      <c r="C4" s="3" t="s">
        <v>165</v>
      </c>
      <c r="D4" s="3" t="s">
        <v>166</v>
      </c>
      <c r="E4" s="3" t="s">
        <v>158</v>
      </c>
      <c r="F4" s="17" t="n">
        <v>0</v>
      </c>
      <c r="G4" s="22" t="s">
        <v>163</v>
      </c>
      <c r="H4" s="21" t="n">
        <v>1</v>
      </c>
      <c r="I4" s="17" t="n">
        <v>0.0833</v>
      </c>
      <c r="J4" s="3" t="str">
        <f aca="false">IF(I4&lt;=F4,"PASS","FAIL")</f>
        <v>FAIL</v>
      </c>
      <c r="K4" s="3" t="str">
        <f aca="false">INDEX(Severity_Escalation!$C$2:$C$4,MATCH(G4,Severity_Escalation!$A$2:$A$4,0))</f>
        <v>WARN: publish with a visible data-quality warning; affected rows flagged.</v>
      </c>
    </row>
    <row r="5" customFormat="false" ht="46.25" hidden="false" customHeight="false" outlineLevel="0" collapsed="false">
      <c r="A5" s="3" t="s">
        <v>167</v>
      </c>
      <c r="B5" s="3" t="s">
        <v>155</v>
      </c>
      <c r="C5" s="3" t="s">
        <v>168</v>
      </c>
      <c r="D5" s="3" t="s">
        <v>169</v>
      </c>
      <c r="E5" s="3" t="s">
        <v>158</v>
      </c>
      <c r="F5" s="17" t="n">
        <v>0</v>
      </c>
      <c r="G5" s="20" t="s">
        <v>159</v>
      </c>
      <c r="H5" s="21" t="n">
        <v>0</v>
      </c>
      <c r="I5" s="17" t="n">
        <v>0</v>
      </c>
      <c r="J5" s="3" t="str">
        <f aca="false">IF(I5&lt;=F5,"PASS","FAIL")</f>
        <v>PASS</v>
      </c>
      <c r="K5" s="3" t="str">
        <f aca="false">INDEX(Severity_Escalation!$C$2:$C$4,MATCH(G5,Severity_Escalation!$A$2:$A$4,0))</f>
        <v>BLOCK: stop the dashboard refresh and keep the last good snapshot with a 'data on hold' banner.</v>
      </c>
    </row>
    <row r="6" customFormat="false" ht="23.85" hidden="false" customHeight="false" outlineLevel="0" collapsed="false">
      <c r="A6" s="3" t="s">
        <v>170</v>
      </c>
      <c r="B6" s="3" t="s">
        <v>171</v>
      </c>
      <c r="C6" s="3" t="s">
        <v>172</v>
      </c>
      <c r="D6" s="3" t="s">
        <v>52</v>
      </c>
      <c r="E6" s="3" t="s">
        <v>158</v>
      </c>
      <c r="F6" s="17" t="n">
        <v>0</v>
      </c>
      <c r="G6" s="20" t="s">
        <v>159</v>
      </c>
      <c r="H6" s="21" t="n">
        <v>1</v>
      </c>
      <c r="I6" s="17" t="n">
        <v>0.0833</v>
      </c>
      <c r="J6" s="3" t="str">
        <f aca="false">IF(I6&lt;=F6,"PASS","FAIL")</f>
        <v>FAIL</v>
      </c>
      <c r="K6" s="3" t="str">
        <f aca="false">INDEX(Severity_Escalation!$C$2:$C$4,MATCH(G6,Severity_Escalation!$A$2:$A$4,0))</f>
        <v>BLOCK: stop the dashboard refresh and keep the last good snapshot with a 'data on hold' banner.</v>
      </c>
    </row>
    <row r="7" customFormat="false" ht="23.85" hidden="false" customHeight="false" outlineLevel="0" collapsed="false">
      <c r="A7" s="3" t="s">
        <v>173</v>
      </c>
      <c r="B7" s="3" t="s">
        <v>171</v>
      </c>
      <c r="C7" s="3" t="s">
        <v>174</v>
      </c>
      <c r="D7" s="3" t="s">
        <v>175</v>
      </c>
      <c r="E7" s="3" t="s">
        <v>158</v>
      </c>
      <c r="F7" s="17" t="n">
        <v>0</v>
      </c>
      <c r="G7" s="20" t="s">
        <v>159</v>
      </c>
      <c r="H7" s="21" t="n">
        <v>1</v>
      </c>
      <c r="I7" s="17" t="n">
        <v>0.0833</v>
      </c>
      <c r="J7" s="3" t="str">
        <f aca="false">IF(I7&lt;=F7,"PASS","FAIL")</f>
        <v>FAIL</v>
      </c>
      <c r="K7" s="3" t="str">
        <f aca="false">INDEX(Severity_Escalation!$C$2:$C$4,MATCH(G7,Severity_Escalation!$A$2:$A$4,0))</f>
        <v>BLOCK: stop the dashboard refresh and keep the last good snapshot with a 'data on hold' banner.</v>
      </c>
    </row>
    <row r="8" customFormat="false" ht="23.85" hidden="false" customHeight="false" outlineLevel="0" collapsed="false">
      <c r="A8" s="3" t="s">
        <v>176</v>
      </c>
      <c r="B8" s="3" t="s">
        <v>177</v>
      </c>
      <c r="C8" s="3" t="s">
        <v>178</v>
      </c>
      <c r="D8" s="3" t="s">
        <v>157</v>
      </c>
      <c r="E8" s="3" t="s">
        <v>158</v>
      </c>
      <c r="F8" s="17" t="n">
        <v>0</v>
      </c>
      <c r="G8" s="20" t="s">
        <v>159</v>
      </c>
      <c r="H8" s="21" t="n">
        <v>1</v>
      </c>
      <c r="I8" s="17" t="n">
        <v>0.0833</v>
      </c>
      <c r="J8" s="3" t="str">
        <f aca="false">IF(I8&lt;=F8,"PASS","FAIL")</f>
        <v>FAIL</v>
      </c>
      <c r="K8" s="3" t="str">
        <f aca="false">INDEX(Severity_Escalation!$C$2:$C$4,MATCH(G8,Severity_Escalation!$A$2:$A$4,0))</f>
        <v>BLOCK: stop the dashboard refresh and keep the last good snapshot with a 'data on hold' banner.</v>
      </c>
    </row>
    <row r="9" customFormat="false" ht="23.85" hidden="false" customHeight="false" outlineLevel="0" collapsed="false">
      <c r="A9" s="3" t="s">
        <v>179</v>
      </c>
      <c r="B9" s="3" t="s">
        <v>177</v>
      </c>
      <c r="C9" s="3" t="s">
        <v>180</v>
      </c>
      <c r="D9" s="3" t="s">
        <v>181</v>
      </c>
      <c r="E9" s="3" t="s">
        <v>158</v>
      </c>
      <c r="F9" s="17" t="n">
        <v>0</v>
      </c>
      <c r="G9" s="20" t="s">
        <v>159</v>
      </c>
      <c r="H9" s="21" t="n">
        <v>2</v>
      </c>
      <c r="I9" s="17" t="n">
        <v>0.1667</v>
      </c>
      <c r="J9" s="3" t="str">
        <f aca="false">IF(I9&lt;=F9,"PASS","FAIL")</f>
        <v>FAIL</v>
      </c>
      <c r="K9" s="3" t="str">
        <f aca="false">INDEX(Severity_Escalation!$C$2:$C$4,MATCH(G9,Severity_Escalation!$A$2:$A$4,0))</f>
        <v>BLOCK: stop the dashboard refresh and keep the last good snapshot with a 'data on hold' banner.</v>
      </c>
    </row>
    <row r="10" customFormat="false" ht="23.85" hidden="false" customHeight="false" outlineLevel="0" collapsed="false">
      <c r="A10" s="3" t="s">
        <v>182</v>
      </c>
      <c r="B10" s="3" t="s">
        <v>177</v>
      </c>
      <c r="C10" s="3" t="s">
        <v>183</v>
      </c>
      <c r="D10" s="3" t="s">
        <v>184</v>
      </c>
      <c r="E10" s="3" t="s">
        <v>158</v>
      </c>
      <c r="F10" s="17" t="n">
        <v>0</v>
      </c>
      <c r="G10" s="20" t="s">
        <v>159</v>
      </c>
      <c r="H10" s="21" t="n">
        <v>0</v>
      </c>
      <c r="I10" s="17" t="n">
        <v>0</v>
      </c>
      <c r="J10" s="3" t="str">
        <f aca="false">IF(I10&lt;=F10,"PASS","FAIL")</f>
        <v>PASS</v>
      </c>
      <c r="K10" s="3" t="str">
        <f aca="false">INDEX(Severity_Escalation!$C$2:$C$4,MATCH(G10,Severity_Escalation!$A$2:$A$4,0))</f>
        <v>BLOCK: stop the dashboard refresh and keep the last good snapshot with a 'data on hold' banner.</v>
      </c>
    </row>
    <row r="11" customFormat="false" ht="23.85" hidden="false" customHeight="false" outlineLevel="0" collapsed="false">
      <c r="A11" s="3" t="s">
        <v>185</v>
      </c>
      <c r="B11" s="3" t="s">
        <v>177</v>
      </c>
      <c r="C11" s="3" t="s">
        <v>186</v>
      </c>
      <c r="D11" s="3" t="s">
        <v>166</v>
      </c>
      <c r="E11" s="3" t="s">
        <v>158</v>
      </c>
      <c r="F11" s="17" t="n">
        <v>0</v>
      </c>
      <c r="G11" s="20" t="s">
        <v>159</v>
      </c>
      <c r="H11" s="21" t="n">
        <v>1</v>
      </c>
      <c r="I11" s="17" t="n">
        <v>0.0833</v>
      </c>
      <c r="J11" s="3" t="str">
        <f aca="false">IF(I11&lt;=F11,"PASS","FAIL")</f>
        <v>FAIL</v>
      </c>
      <c r="K11" s="3" t="str">
        <f aca="false">INDEX(Severity_Escalation!$C$2:$C$4,MATCH(G11,Severity_Escalation!$A$2:$A$4,0))</f>
        <v>BLOCK: stop the dashboard refresh and keep the last good snapshot with a 'data on hold' banner.</v>
      </c>
    </row>
    <row r="12" customFormat="false" ht="15" hidden="false" customHeight="false" outlineLevel="0" collapsed="false">
      <c r="A12" s="3" t="s">
        <v>187</v>
      </c>
      <c r="B12" s="3" t="s">
        <v>177</v>
      </c>
      <c r="C12" s="3" t="s">
        <v>188</v>
      </c>
      <c r="D12" s="3" t="s">
        <v>189</v>
      </c>
      <c r="E12" s="3" t="s">
        <v>158</v>
      </c>
      <c r="F12" s="17" t="n">
        <v>0</v>
      </c>
      <c r="G12" s="22" t="s">
        <v>163</v>
      </c>
      <c r="H12" s="21" t="n">
        <v>0</v>
      </c>
      <c r="I12" s="17" t="n">
        <v>0</v>
      </c>
      <c r="J12" s="3" t="str">
        <f aca="false">IF(I12&lt;=F12,"PASS","FAIL")</f>
        <v>PASS</v>
      </c>
      <c r="K12" s="3" t="str">
        <f aca="false">INDEX(Severity_Escalation!$C$2:$C$4,MATCH(G12,Severity_Escalation!$A$2:$A$4,0))</f>
        <v>WARN: publish with a visible data-quality warning; affected rows flagged.</v>
      </c>
    </row>
    <row r="13" customFormat="false" ht="23.85" hidden="false" customHeight="false" outlineLevel="0" collapsed="false">
      <c r="A13" s="3" t="s">
        <v>190</v>
      </c>
      <c r="B13" s="3" t="s">
        <v>177</v>
      </c>
      <c r="C13" s="3" t="s">
        <v>191</v>
      </c>
      <c r="D13" s="3" t="s">
        <v>192</v>
      </c>
      <c r="E13" s="3" t="s">
        <v>158</v>
      </c>
      <c r="F13" s="17" t="n">
        <v>0</v>
      </c>
      <c r="G13" s="22" t="s">
        <v>163</v>
      </c>
      <c r="H13" s="21" t="n">
        <v>0</v>
      </c>
      <c r="I13" s="17" t="n">
        <v>0</v>
      </c>
      <c r="J13" s="3" t="str">
        <f aca="false">IF(I13&lt;=F13,"PASS","FAIL")</f>
        <v>PASS</v>
      </c>
      <c r="K13" s="3" t="str">
        <f aca="false">INDEX(Severity_Escalation!$C$2:$C$4,MATCH(G13,Severity_Escalation!$A$2:$A$4,0))</f>
        <v>WARN: publish with a visible data-quality warning; affected rows flagged.</v>
      </c>
    </row>
    <row r="14" customFormat="false" ht="15" hidden="false" customHeight="false" outlineLevel="0" collapsed="false">
      <c r="A14" s="3" t="s">
        <v>193</v>
      </c>
      <c r="B14" s="3" t="s">
        <v>194</v>
      </c>
      <c r="C14" s="3" t="s">
        <v>195</v>
      </c>
      <c r="D14" s="3" t="s">
        <v>196</v>
      </c>
      <c r="E14" s="3" t="s">
        <v>158</v>
      </c>
      <c r="F14" s="17" t="n">
        <v>0</v>
      </c>
      <c r="G14" s="23" t="s">
        <v>197</v>
      </c>
      <c r="H14" s="21" t="n">
        <v>1</v>
      </c>
      <c r="I14" s="17" t="n">
        <v>0.0833</v>
      </c>
      <c r="J14" s="3" t="str">
        <f aca="false">IF(I14&lt;=F14,"PASS","FAIL")</f>
        <v>FAIL</v>
      </c>
      <c r="K14" s="3" t="str">
        <f aca="false">INDEX(Severity_Escalation!$C$2:$C$4,MATCH(G14,Severity_Escalation!$A$2:$A$4,0))</f>
        <v>AUTO-FIX: normalize in the pipeline and log the change.</v>
      </c>
    </row>
    <row r="15" customFormat="false" ht="15" hidden="false" customHeight="false" outlineLevel="0" collapsed="false">
      <c r="A15" s="3" t="s">
        <v>198</v>
      </c>
      <c r="B15" s="3" t="s">
        <v>194</v>
      </c>
      <c r="C15" s="3" t="s">
        <v>199</v>
      </c>
      <c r="D15" s="3" t="s">
        <v>200</v>
      </c>
      <c r="E15" s="3" t="s">
        <v>158</v>
      </c>
      <c r="F15" s="17" t="n">
        <v>0</v>
      </c>
      <c r="G15" s="23" t="s">
        <v>197</v>
      </c>
      <c r="H15" s="21" t="n">
        <v>1</v>
      </c>
      <c r="I15" s="17" t="n">
        <v>0.0833</v>
      </c>
      <c r="J15" s="3" t="str">
        <f aca="false">IF(I15&lt;=F15,"PASS","FAIL")</f>
        <v>FAIL</v>
      </c>
      <c r="K15" s="3" t="str">
        <f aca="false">INDEX(Severity_Escalation!$C$2:$C$4,MATCH(G15,Severity_Escalation!$A$2:$A$4,0))</f>
        <v>AUTO-FIX: normalize in the pipeline and log the change.</v>
      </c>
    </row>
    <row r="16" customFormat="false" ht="15" hidden="false" customHeight="false" outlineLevel="0" collapsed="false">
      <c r="A16" s="3" t="s">
        <v>201</v>
      </c>
      <c r="B16" s="3" t="s">
        <v>194</v>
      </c>
      <c r="C16" s="3" t="s">
        <v>202</v>
      </c>
      <c r="D16" s="3" t="s">
        <v>157</v>
      </c>
      <c r="E16" s="3" t="s">
        <v>158</v>
      </c>
      <c r="F16" s="17" t="n">
        <v>0</v>
      </c>
      <c r="G16" s="22" t="s">
        <v>163</v>
      </c>
      <c r="H16" s="21" t="n">
        <v>1</v>
      </c>
      <c r="I16" s="17" t="n">
        <v>0.0833</v>
      </c>
      <c r="J16" s="3" t="str">
        <f aca="false">IF(I16&lt;=F16,"PASS","FAIL")</f>
        <v>FAIL</v>
      </c>
      <c r="K16" s="3" t="str">
        <f aca="false">INDEX(Severity_Escalation!$C$2:$C$4,MATCH(G16,Severity_Escalation!$A$2:$A$4,0))</f>
        <v>WARN: publish with a visible data-quality warning; affected rows flagged.</v>
      </c>
    </row>
    <row r="17" customFormat="false" ht="15" hidden="false" customHeight="false" outlineLevel="0" collapsed="false">
      <c r="A17" s="3" t="s">
        <v>203</v>
      </c>
      <c r="B17" s="3" t="s">
        <v>194</v>
      </c>
      <c r="C17" s="3" t="s">
        <v>204</v>
      </c>
      <c r="D17" s="3" t="s">
        <v>205</v>
      </c>
      <c r="E17" s="3" t="s">
        <v>158</v>
      </c>
      <c r="F17" s="17" t="n">
        <v>0</v>
      </c>
      <c r="G17" s="22" t="s">
        <v>163</v>
      </c>
      <c r="H17" s="21" t="n">
        <v>0</v>
      </c>
      <c r="I17" s="17" t="n">
        <v>0</v>
      </c>
      <c r="J17" s="3" t="str">
        <f aca="false">IF(I17&lt;=F17,"PASS","FAIL")</f>
        <v>PASS</v>
      </c>
      <c r="K17" s="3" t="str">
        <f aca="false">INDEX(Severity_Escalation!$C$2:$C$4,MATCH(G17,Severity_Escalation!$A$2:$A$4,0))</f>
        <v>WARN: publish with a visible data-quality warning; affected rows flagged.</v>
      </c>
    </row>
    <row r="18" customFormat="false" ht="23.85" hidden="false" customHeight="false" outlineLevel="0" collapsed="false">
      <c r="A18" s="3" t="s">
        <v>206</v>
      </c>
      <c r="B18" s="3" t="s">
        <v>194</v>
      </c>
      <c r="C18" s="3" t="s">
        <v>207</v>
      </c>
      <c r="D18" s="3" t="s">
        <v>52</v>
      </c>
      <c r="E18" s="3" t="s">
        <v>158</v>
      </c>
      <c r="F18" s="17" t="n">
        <v>0</v>
      </c>
      <c r="G18" s="20" t="s">
        <v>159</v>
      </c>
      <c r="H18" s="21" t="n">
        <v>0</v>
      </c>
      <c r="I18" s="17" t="n">
        <v>0</v>
      </c>
      <c r="J18" s="3" t="str">
        <f aca="false">IF(I18&lt;=F18,"PASS","FAIL")</f>
        <v>PASS</v>
      </c>
      <c r="K18" s="3" t="str">
        <f aca="false">INDEX(Severity_Escalation!$C$2:$C$4,MATCH(G18,Severity_Escalation!$A$2:$A$4,0))</f>
        <v>BLOCK: stop the dashboard refresh and keep the last good snapshot with a 'data on hold' banner.</v>
      </c>
    </row>
    <row r="19" customFormat="false" ht="23.85" hidden="false" customHeight="false" outlineLevel="0" collapsed="false">
      <c r="A19" s="3" t="s">
        <v>208</v>
      </c>
      <c r="B19" s="3" t="s">
        <v>209</v>
      </c>
      <c r="C19" s="3" t="s">
        <v>210</v>
      </c>
      <c r="D19" s="3" t="s">
        <v>157</v>
      </c>
      <c r="E19" s="3" t="s">
        <v>211</v>
      </c>
      <c r="F19" s="12" t="n">
        <v>2</v>
      </c>
      <c r="G19" s="20" t="s">
        <v>159</v>
      </c>
      <c r="H19" s="24"/>
      <c r="I19" s="12" t="n">
        <v>260</v>
      </c>
      <c r="J19" s="3" t="str">
        <f aca="false">IF(I19&lt;=F19,"PASS","FAIL")</f>
        <v>FAIL</v>
      </c>
      <c r="K19" s="3" t="str">
        <f aca="false">INDEX(Severity_Escalation!$C$2:$C$4,MATCH(G19,Severity_Escalation!$A$2:$A$4,0))</f>
        <v>BLOCK: stop the dashboard refresh and keep the last good snapshot with a 'data on hold' banner.</v>
      </c>
    </row>
    <row r="21" customFormat="false" ht="15" hidden="false" customHeight="false" outlineLevel="0" collapsed="false">
      <c r="B21" s="3" t="s">
        <v>212</v>
      </c>
    </row>
    <row r="22" customFormat="false" ht="15" hidden="false" customHeight="false" outlineLevel="0" collapsed="false">
      <c r="B22" s="3" t="s">
        <v>213</v>
      </c>
      <c r="C22" s="3" t="n">
        <f aca="false">COUNTA(A2:A19)</f>
        <v>18</v>
      </c>
    </row>
    <row r="23" customFormat="false" ht="15" hidden="false" customHeight="false" outlineLevel="0" collapsed="false">
      <c r="B23" s="3" t="s">
        <v>214</v>
      </c>
      <c r="C23" s="3" t="n">
        <f aca="false">COUNTIF(J2:J19,"PASS")</f>
        <v>6</v>
      </c>
    </row>
    <row r="24" customFormat="false" ht="15" hidden="false" customHeight="false" outlineLevel="0" collapsed="false">
      <c r="B24" s="3" t="s">
        <v>215</v>
      </c>
      <c r="C24" s="3" t="n">
        <f aca="false">COUNTIF(J2:J19,"FAIL")</f>
        <v>12</v>
      </c>
    </row>
    <row r="25" customFormat="false" ht="15" hidden="false" customHeight="false" outlineLevel="0" collapsed="false">
      <c r="B25" s="3" t="s">
        <v>216</v>
      </c>
      <c r="C25" s="3" t="n">
        <f aca="false">COUNTIFS(G2:G19,"P1",J2:J19,"FAIL")</f>
        <v>7</v>
      </c>
    </row>
    <row r="26" customFormat="false" ht="15" hidden="false" customHeight="false" outlineLevel="0" collapsed="false">
      <c r="B26" s="3" t="s">
        <v>217</v>
      </c>
      <c r="C26" s="3" t="str">
        <f aca="false">IF(C25&gt;0,"BLOCK publication","PASS")</f>
        <v>BLOCK publication</v>
      </c>
    </row>
    <row r="28" customFormat="false" ht="116.4" hidden="false" customHeight="false" outlineLevel="0" collapsed="false">
      <c r="B28" s="25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5"/>
  </cols>
  <sheetData>
    <row r="1" customFormat="false" ht="15" hidden="false" customHeight="false" outlineLevel="0" collapsed="false">
      <c r="A1" s="6" t="s">
        <v>52</v>
      </c>
      <c r="B1" s="6" t="s">
        <v>157</v>
      </c>
      <c r="C1" s="6" t="s">
        <v>196</v>
      </c>
      <c r="D1" s="6" t="s">
        <v>162</v>
      </c>
      <c r="E1" s="6" t="s">
        <v>189</v>
      </c>
      <c r="F1" s="6" t="s">
        <v>181</v>
      </c>
      <c r="G1" s="6" t="s">
        <v>184</v>
      </c>
      <c r="H1" s="6" t="s">
        <v>166</v>
      </c>
      <c r="I1" s="6" t="s">
        <v>200</v>
      </c>
    </row>
    <row r="2" customFormat="false" ht="15" hidden="false" customHeight="false" outlineLevel="0" collapsed="false">
      <c r="A2" s="26" t="s">
        <v>219</v>
      </c>
      <c r="B2" s="26" t="s">
        <v>220</v>
      </c>
      <c r="C2" s="26" t="s">
        <v>221</v>
      </c>
      <c r="D2" s="26" t="s">
        <v>222</v>
      </c>
      <c r="E2" s="26" t="s">
        <v>223</v>
      </c>
      <c r="F2" s="26" t="s">
        <v>224</v>
      </c>
      <c r="G2" s="26" t="s">
        <v>225</v>
      </c>
      <c r="H2" s="26" t="s">
        <v>226</v>
      </c>
      <c r="I2" s="26" t="s">
        <v>227</v>
      </c>
    </row>
    <row r="3" customFormat="false" ht="15" hidden="false" customHeight="false" outlineLevel="0" collapsed="false">
      <c r="A3" s="26" t="s">
        <v>228</v>
      </c>
      <c r="B3" s="26" t="s">
        <v>229</v>
      </c>
      <c r="C3" s="26" t="s">
        <v>230</v>
      </c>
      <c r="D3" s="26" t="s">
        <v>231</v>
      </c>
      <c r="E3" s="26" t="s">
        <v>232</v>
      </c>
      <c r="F3" s="26" t="s">
        <v>233</v>
      </c>
      <c r="G3" s="26" t="s">
        <v>234</v>
      </c>
      <c r="H3" s="26" t="s">
        <v>133</v>
      </c>
      <c r="I3" s="26" t="s">
        <v>235</v>
      </c>
    </row>
    <row r="4" customFormat="false" ht="15" hidden="false" customHeight="false" outlineLevel="0" collapsed="false">
      <c r="A4" s="26" t="s">
        <v>236</v>
      </c>
      <c r="B4" s="26" t="s">
        <v>237</v>
      </c>
      <c r="C4" s="26" t="s">
        <v>238</v>
      </c>
      <c r="D4" s="26" t="s">
        <v>222</v>
      </c>
      <c r="E4" s="26" t="s">
        <v>232</v>
      </c>
      <c r="F4" s="26" t="s">
        <v>233</v>
      </c>
      <c r="G4" s="26" t="s">
        <v>234</v>
      </c>
      <c r="H4" s="27"/>
      <c r="I4" s="26" t="s">
        <v>239</v>
      </c>
    </row>
    <row r="5" customFormat="false" ht="15" hidden="false" customHeight="false" outlineLevel="0" collapsed="false">
      <c r="A5" s="26" t="s">
        <v>240</v>
      </c>
      <c r="B5" s="26" t="s">
        <v>241</v>
      </c>
      <c r="C5" s="26" t="s">
        <v>242</v>
      </c>
      <c r="D5" s="26" t="s">
        <v>243</v>
      </c>
      <c r="E5" s="26" t="s">
        <v>223</v>
      </c>
      <c r="F5" s="26" t="s">
        <v>244</v>
      </c>
      <c r="G5" s="26" t="s">
        <v>225</v>
      </c>
      <c r="H5" s="26" t="s">
        <v>245</v>
      </c>
      <c r="I5" s="26" t="s">
        <v>227</v>
      </c>
    </row>
    <row r="6" customFormat="false" ht="15" hidden="false" customHeight="false" outlineLevel="0" collapsed="false">
      <c r="A6" s="26" t="s">
        <v>240</v>
      </c>
      <c r="B6" s="26" t="s">
        <v>241</v>
      </c>
      <c r="C6" s="26" t="s">
        <v>242</v>
      </c>
      <c r="D6" s="26" t="s">
        <v>243</v>
      </c>
      <c r="E6" s="26" t="s">
        <v>223</v>
      </c>
      <c r="F6" s="26" t="s">
        <v>244</v>
      </c>
      <c r="G6" s="26" t="s">
        <v>225</v>
      </c>
      <c r="H6" s="26" t="s">
        <v>245</v>
      </c>
      <c r="I6" s="26" t="s">
        <v>227</v>
      </c>
    </row>
    <row r="7" customFormat="false" ht="15" hidden="false" customHeight="false" outlineLevel="0" collapsed="false">
      <c r="A7" s="26" t="s">
        <v>246</v>
      </c>
      <c r="B7" s="26" t="s">
        <v>247</v>
      </c>
      <c r="C7" s="26" t="s">
        <v>230</v>
      </c>
      <c r="D7" s="27"/>
      <c r="E7" s="26" t="s">
        <v>248</v>
      </c>
      <c r="F7" s="26" t="s">
        <v>233</v>
      </c>
      <c r="G7" s="26" t="s">
        <v>249</v>
      </c>
      <c r="H7" s="26" t="s">
        <v>133</v>
      </c>
      <c r="I7" s="26" t="s">
        <v>215</v>
      </c>
    </row>
    <row r="8" customFormat="false" ht="15" hidden="false" customHeight="false" outlineLevel="0" collapsed="false">
      <c r="A8" s="26" t="s">
        <v>250</v>
      </c>
      <c r="B8" s="26" t="s">
        <v>251</v>
      </c>
      <c r="C8" s="26" t="s">
        <v>221</v>
      </c>
      <c r="D8" s="26" t="s">
        <v>252</v>
      </c>
      <c r="E8" s="26" t="s">
        <v>223</v>
      </c>
      <c r="F8" s="26" t="s">
        <v>253</v>
      </c>
      <c r="G8" s="26" t="s">
        <v>225</v>
      </c>
      <c r="H8" s="26" t="s">
        <v>226</v>
      </c>
      <c r="I8" s="26" t="s">
        <v>227</v>
      </c>
    </row>
    <row r="9" customFormat="false" ht="15" hidden="false" customHeight="false" outlineLevel="0" collapsed="false">
      <c r="A9" s="26" t="s">
        <v>254</v>
      </c>
      <c r="B9" s="26" t="s">
        <v>255</v>
      </c>
      <c r="C9" s="26" t="s">
        <v>242</v>
      </c>
      <c r="D9" s="26" t="s">
        <v>256</v>
      </c>
      <c r="E9" s="26" t="s">
        <v>248</v>
      </c>
      <c r="F9" s="26" t="s">
        <v>224</v>
      </c>
      <c r="G9" s="26" t="s">
        <v>249</v>
      </c>
      <c r="H9" s="26" t="s">
        <v>257</v>
      </c>
      <c r="I9" s="26" t="s">
        <v>227</v>
      </c>
    </row>
    <row r="10" customFormat="false" ht="15" hidden="false" customHeight="false" outlineLevel="0" collapsed="false">
      <c r="A10" s="26" t="s">
        <v>258</v>
      </c>
      <c r="B10" s="26" t="s">
        <v>259</v>
      </c>
      <c r="C10" s="26" t="s">
        <v>230</v>
      </c>
      <c r="D10" s="26" t="s">
        <v>231</v>
      </c>
      <c r="E10" s="26" t="s">
        <v>232</v>
      </c>
      <c r="F10" s="26" t="s">
        <v>260</v>
      </c>
      <c r="G10" s="26" t="s">
        <v>234</v>
      </c>
      <c r="H10" s="26" t="s">
        <v>133</v>
      </c>
      <c r="I10" s="26" t="s">
        <v>239</v>
      </c>
    </row>
    <row r="11" customFormat="false" ht="15" hidden="false" customHeight="false" outlineLevel="0" collapsed="false">
      <c r="A11" s="26" t="s">
        <v>261</v>
      </c>
      <c r="B11" s="26" t="s">
        <v>262</v>
      </c>
      <c r="C11" s="26" t="s">
        <v>221</v>
      </c>
      <c r="D11" s="26" t="s">
        <v>222</v>
      </c>
      <c r="E11" s="26" t="s">
        <v>223</v>
      </c>
      <c r="F11" s="26" t="s">
        <v>233</v>
      </c>
      <c r="G11" s="26" t="s">
        <v>225</v>
      </c>
      <c r="H11" s="26" t="s">
        <v>133</v>
      </c>
      <c r="I11" s="26" t="s">
        <v>227</v>
      </c>
    </row>
    <row r="12" customFormat="false" ht="15" hidden="false" customHeight="false" outlineLevel="0" collapsed="false">
      <c r="A12" s="26" t="s">
        <v>263</v>
      </c>
      <c r="B12" s="26" t="s">
        <v>264</v>
      </c>
      <c r="C12" s="26" t="s">
        <v>242</v>
      </c>
      <c r="D12" s="26" t="s">
        <v>265</v>
      </c>
      <c r="E12" s="26" t="s">
        <v>232</v>
      </c>
      <c r="F12" s="26" t="s">
        <v>224</v>
      </c>
      <c r="G12" s="26" t="s">
        <v>234</v>
      </c>
      <c r="H12" s="26" t="s">
        <v>266</v>
      </c>
      <c r="I12" s="26" t="s">
        <v>267</v>
      </c>
    </row>
    <row r="13" customFormat="false" ht="15" hidden="false" customHeight="false" outlineLevel="0" collapsed="false">
      <c r="A13" s="26" t="s">
        <v>268</v>
      </c>
      <c r="B13" s="27"/>
      <c r="C13" s="26" t="s">
        <v>221</v>
      </c>
      <c r="D13" s="26" t="s">
        <v>269</v>
      </c>
      <c r="E13" s="26" t="s">
        <v>248</v>
      </c>
      <c r="F13" s="26" t="s">
        <v>233</v>
      </c>
      <c r="G13" s="26" t="s">
        <v>249</v>
      </c>
      <c r="H13" s="26" t="s">
        <v>133</v>
      </c>
      <c r="I13" s="26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32"/>
    <col collapsed="false" customWidth="true" hidden="false" outlineLevel="0" max="11" min="11" style="0" width="13"/>
    <col collapsed="false" customWidth="true" hidden="false" outlineLevel="0" max="12" min="12" style="0" width="15"/>
    <col collapsed="false" customWidth="true" hidden="false" outlineLevel="0" max="13" min="13" style="0" width="12"/>
  </cols>
  <sheetData>
    <row r="1" customFormat="false" ht="23.85" hidden="false" customHeight="false" outlineLevel="0" collapsed="false">
      <c r="A1" s="6" t="s">
        <v>52</v>
      </c>
      <c r="B1" s="6" t="s">
        <v>157</v>
      </c>
      <c r="C1" s="6" t="s">
        <v>196</v>
      </c>
      <c r="D1" s="6" t="s">
        <v>162</v>
      </c>
      <c r="E1" s="6" t="s">
        <v>189</v>
      </c>
      <c r="F1" s="6" t="s">
        <v>181</v>
      </c>
      <c r="G1" s="6" t="s">
        <v>184</v>
      </c>
      <c r="H1" s="6" t="s">
        <v>166</v>
      </c>
      <c r="I1" s="6" t="s">
        <v>200</v>
      </c>
      <c r="J1" s="6" t="s">
        <v>270</v>
      </c>
      <c r="K1" s="6" t="s">
        <v>271</v>
      </c>
      <c r="L1" s="6" t="s">
        <v>272</v>
      </c>
      <c r="M1" s="6" t="s">
        <v>273</v>
      </c>
      <c r="O1" s="28" t="s">
        <v>274</v>
      </c>
    </row>
    <row r="2" customFormat="false" ht="15" hidden="false" customHeight="false" outlineLevel="0" collapsed="false">
      <c r="A2" s="21" t="s">
        <v>219</v>
      </c>
      <c r="B2" s="29" t="n">
        <v>46025</v>
      </c>
      <c r="C2" s="21" t="s">
        <v>221</v>
      </c>
      <c r="D2" s="21" t="s">
        <v>222</v>
      </c>
      <c r="E2" s="21" t="s">
        <v>223</v>
      </c>
      <c r="F2" s="21" t="n">
        <v>2</v>
      </c>
      <c r="G2" s="15" t="n">
        <v>799</v>
      </c>
      <c r="H2" s="21" t="n">
        <v>10</v>
      </c>
      <c r="I2" s="21" t="s">
        <v>227</v>
      </c>
      <c r="J2" s="24"/>
      <c r="K2" s="14" t="n">
        <f aca="false">F2*G2</f>
        <v>1598</v>
      </c>
      <c r="L2" s="14" t="n">
        <f aca="false">K2*H2/100</f>
        <v>159.8</v>
      </c>
      <c r="M2" s="14" t="n">
        <f aca="false">K2-L2</f>
        <v>1438.2</v>
      </c>
    </row>
    <row r="3" customFormat="false" ht="15" hidden="false" customHeight="false" outlineLevel="0" collapsed="false">
      <c r="A3" s="21" t="s">
        <v>228</v>
      </c>
      <c r="B3" s="29" t="n">
        <v>46025</v>
      </c>
      <c r="C3" s="21" t="s">
        <v>230</v>
      </c>
      <c r="D3" s="21" t="s">
        <v>231</v>
      </c>
      <c r="E3" s="21" t="s">
        <v>232</v>
      </c>
      <c r="F3" s="21" t="n">
        <v>1</v>
      </c>
      <c r="G3" s="15" t="n">
        <v>1499</v>
      </c>
      <c r="H3" s="21" t="n">
        <v>0</v>
      </c>
      <c r="I3" s="21" t="s">
        <v>227</v>
      </c>
      <c r="J3" s="21" t="s">
        <v>275</v>
      </c>
      <c r="K3" s="14" t="n">
        <f aca="false">F3*G3</f>
        <v>1499</v>
      </c>
      <c r="L3" s="14" t="n">
        <f aca="false">K3*H3/100</f>
        <v>0</v>
      </c>
      <c r="M3" s="14" t="n">
        <f aca="false">K3-L3</f>
        <v>1499</v>
      </c>
    </row>
    <row r="4" customFormat="false" ht="15" hidden="false" customHeight="false" outlineLevel="0" collapsed="false">
      <c r="A4" s="21" t="s">
        <v>240</v>
      </c>
      <c r="B4" s="29" t="n">
        <v>46029</v>
      </c>
      <c r="C4" s="21" t="s">
        <v>242</v>
      </c>
      <c r="D4" s="21" t="s">
        <v>243</v>
      </c>
      <c r="E4" s="21" t="s">
        <v>223</v>
      </c>
      <c r="F4" s="21" t="n">
        <v>3</v>
      </c>
      <c r="G4" s="15" t="n">
        <v>799</v>
      </c>
      <c r="H4" s="21" t="n">
        <v>5</v>
      </c>
      <c r="I4" s="21" t="s">
        <v>227</v>
      </c>
      <c r="J4" s="24"/>
      <c r="K4" s="14" t="n">
        <f aca="false">F4*G4</f>
        <v>2397</v>
      </c>
      <c r="L4" s="14" t="n">
        <f aca="false">K4*H4/100</f>
        <v>119.85</v>
      </c>
      <c r="M4" s="14" t="n">
        <f aca="false">K4-L4</f>
        <v>2277.15</v>
      </c>
    </row>
    <row r="5" customFormat="false" ht="15" hidden="false" customHeight="false" outlineLevel="0" collapsed="false">
      <c r="A5" s="21" t="s">
        <v>246</v>
      </c>
      <c r="B5" s="29" t="n">
        <v>46031</v>
      </c>
      <c r="C5" s="21" t="s">
        <v>230</v>
      </c>
      <c r="D5" s="24"/>
      <c r="E5" s="21" t="s">
        <v>248</v>
      </c>
      <c r="F5" s="21" t="n">
        <v>1</v>
      </c>
      <c r="G5" s="15" t="n">
        <v>999</v>
      </c>
      <c r="H5" s="21" t="n">
        <v>0</v>
      </c>
      <c r="I5" s="21" t="s">
        <v>215</v>
      </c>
      <c r="J5" s="21" t="s">
        <v>276</v>
      </c>
      <c r="K5" s="14" t="n">
        <f aca="false">F5*G5</f>
        <v>999</v>
      </c>
      <c r="L5" s="14" t="n">
        <f aca="false">K5*H5/100</f>
        <v>0</v>
      </c>
      <c r="M5" s="14" t="n">
        <f aca="false">K5-L5</f>
        <v>999</v>
      </c>
    </row>
    <row r="6" customFormat="false" ht="15" hidden="false" customHeight="false" outlineLevel="0" collapsed="false">
      <c r="A6" s="21" t="s">
        <v>261</v>
      </c>
      <c r="B6" s="29" t="n">
        <v>46038</v>
      </c>
      <c r="C6" s="21" t="s">
        <v>221</v>
      </c>
      <c r="D6" s="21" t="s">
        <v>222</v>
      </c>
      <c r="E6" s="21" t="s">
        <v>223</v>
      </c>
      <c r="F6" s="21" t="n">
        <v>1</v>
      </c>
      <c r="G6" s="15" t="n">
        <v>799</v>
      </c>
      <c r="H6" s="21" t="n">
        <v>0</v>
      </c>
      <c r="I6" s="21" t="s">
        <v>227</v>
      </c>
      <c r="J6" s="24"/>
      <c r="K6" s="14" t="n">
        <f aca="false">F6*G6</f>
        <v>799</v>
      </c>
      <c r="L6" s="14" t="n">
        <f aca="false">K6*H6/100</f>
        <v>0</v>
      </c>
      <c r="M6" s="14" t="n">
        <f aca="false">K6-L6</f>
        <v>799</v>
      </c>
    </row>
    <row r="7" customFormat="false" ht="15" hidden="false" customHeight="false" outlineLevel="0" collapsed="false">
      <c r="A7" s="21" t="s">
        <v>263</v>
      </c>
      <c r="B7" s="29" t="n">
        <v>46040</v>
      </c>
      <c r="C7" s="21" t="s">
        <v>242</v>
      </c>
      <c r="D7" s="21" t="s">
        <v>265</v>
      </c>
      <c r="E7" s="21" t="s">
        <v>232</v>
      </c>
      <c r="F7" s="21" t="n">
        <v>2</v>
      </c>
      <c r="G7" s="15" t="n">
        <v>1499</v>
      </c>
      <c r="H7" s="21" t="n">
        <v>15</v>
      </c>
      <c r="I7" s="21" t="s">
        <v>267</v>
      </c>
      <c r="J7" s="24"/>
      <c r="K7" s="14" t="n">
        <f aca="false">F7*G7</f>
        <v>2998</v>
      </c>
      <c r="L7" s="14" t="n">
        <f aca="false">K7*H7/100</f>
        <v>449.7</v>
      </c>
      <c r="M7" s="14" t="n">
        <f aca="false">K7-L7</f>
        <v>2548.3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70"/>
  </cols>
  <sheetData>
    <row r="1" customFormat="false" ht="15" hidden="false" customHeight="false" outlineLevel="0" collapsed="false">
      <c r="A1" s="6" t="s">
        <v>277</v>
      </c>
      <c r="B1" s="6" t="s">
        <v>52</v>
      </c>
      <c r="C1" s="6" t="s">
        <v>157</v>
      </c>
      <c r="D1" s="6" t="s">
        <v>196</v>
      </c>
      <c r="E1" s="6" t="s">
        <v>162</v>
      </c>
      <c r="F1" s="6" t="s">
        <v>189</v>
      </c>
      <c r="G1" s="6" t="s">
        <v>181</v>
      </c>
      <c r="H1" s="6" t="s">
        <v>184</v>
      </c>
      <c r="I1" s="6" t="s">
        <v>166</v>
      </c>
      <c r="J1" s="6" t="s">
        <v>200</v>
      </c>
      <c r="K1" s="6" t="s">
        <v>278</v>
      </c>
    </row>
    <row r="2" customFormat="false" ht="15" hidden="false" customHeight="false" outlineLevel="0" collapsed="false">
      <c r="A2" s="21" t="n">
        <v>4</v>
      </c>
      <c r="B2" s="21" t="s">
        <v>236</v>
      </c>
      <c r="C2" s="21" t="s">
        <v>237</v>
      </c>
      <c r="D2" s="21" t="s">
        <v>238</v>
      </c>
      <c r="E2" s="21" t="s">
        <v>222</v>
      </c>
      <c r="F2" s="21" t="s">
        <v>232</v>
      </c>
      <c r="G2" s="21" t="s">
        <v>233</v>
      </c>
      <c r="H2" s="21" t="s">
        <v>234</v>
      </c>
      <c r="I2" s="21"/>
      <c r="J2" s="21" t="s">
        <v>239</v>
      </c>
      <c r="K2" s="21" t="s">
        <v>279</v>
      </c>
    </row>
    <row r="3" customFormat="false" ht="15" hidden="false" customHeight="false" outlineLevel="0" collapsed="false">
      <c r="A3" s="21" t="n">
        <v>8</v>
      </c>
      <c r="B3" s="21" t="s">
        <v>250</v>
      </c>
      <c r="C3" s="21" t="s">
        <v>251</v>
      </c>
      <c r="D3" s="21" t="s">
        <v>221</v>
      </c>
      <c r="E3" s="21" t="s">
        <v>252</v>
      </c>
      <c r="F3" s="21" t="s">
        <v>223</v>
      </c>
      <c r="G3" s="21" t="s">
        <v>253</v>
      </c>
      <c r="H3" s="21" t="s">
        <v>225</v>
      </c>
      <c r="I3" s="21" t="s">
        <v>226</v>
      </c>
      <c r="J3" s="21" t="s">
        <v>227</v>
      </c>
      <c r="K3" s="21" t="s">
        <v>280</v>
      </c>
    </row>
    <row r="4" customFormat="false" ht="15" hidden="false" customHeight="false" outlineLevel="0" collapsed="false">
      <c r="A4" s="21" t="n">
        <v>9</v>
      </c>
      <c r="B4" s="21" t="s">
        <v>254</v>
      </c>
      <c r="C4" s="21" t="s">
        <v>255</v>
      </c>
      <c r="D4" s="21" t="s">
        <v>242</v>
      </c>
      <c r="E4" s="21" t="s">
        <v>256</v>
      </c>
      <c r="F4" s="21" t="s">
        <v>248</v>
      </c>
      <c r="G4" s="21" t="s">
        <v>224</v>
      </c>
      <c r="H4" s="21" t="s">
        <v>249</v>
      </c>
      <c r="I4" s="21" t="s">
        <v>257</v>
      </c>
      <c r="J4" s="21" t="s">
        <v>227</v>
      </c>
      <c r="K4" s="21" t="s">
        <v>281</v>
      </c>
    </row>
    <row r="5" customFormat="false" ht="15" hidden="false" customHeight="false" outlineLevel="0" collapsed="false">
      <c r="A5" s="21" t="n">
        <v>10</v>
      </c>
      <c r="B5" s="21" t="s">
        <v>258</v>
      </c>
      <c r="C5" s="21" t="s">
        <v>259</v>
      </c>
      <c r="D5" s="21" t="s">
        <v>230</v>
      </c>
      <c r="E5" s="21" t="s">
        <v>231</v>
      </c>
      <c r="F5" s="21" t="s">
        <v>232</v>
      </c>
      <c r="G5" s="21" t="s">
        <v>260</v>
      </c>
      <c r="H5" s="21" t="s">
        <v>234</v>
      </c>
      <c r="I5" s="21" t="s">
        <v>133</v>
      </c>
      <c r="J5" s="21" t="s">
        <v>239</v>
      </c>
      <c r="K5" s="21" t="s">
        <v>282</v>
      </c>
    </row>
    <row r="6" customFormat="false" ht="15" hidden="false" customHeight="false" outlineLevel="0" collapsed="false">
      <c r="A6" s="21" t="n">
        <v>13</v>
      </c>
      <c r="B6" s="21" t="s">
        <v>268</v>
      </c>
      <c r="C6" s="21"/>
      <c r="D6" s="21" t="s">
        <v>221</v>
      </c>
      <c r="E6" s="21" t="s">
        <v>269</v>
      </c>
      <c r="F6" s="21" t="s">
        <v>248</v>
      </c>
      <c r="G6" s="21" t="s">
        <v>233</v>
      </c>
      <c r="H6" s="21" t="s">
        <v>249</v>
      </c>
      <c r="I6" s="21" t="s">
        <v>133</v>
      </c>
      <c r="J6" s="21" t="s">
        <v>227</v>
      </c>
      <c r="K6" s="21" t="s">
        <v>283</v>
      </c>
    </row>
    <row r="8" customFormat="false" ht="95.5" hidden="false" customHeight="false" outlineLevel="0" collapsed="false">
      <c r="A8" s="25" t="s">
        <v>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52"/>
    <col collapsed="false" customWidth="true" hidden="false" outlineLevel="0" max="4" min="4" style="0" width="50"/>
    <col collapsed="false" customWidth="true" hidden="false" outlineLevel="0" max="5" min="5" style="0" width="24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6" t="s">
        <v>149</v>
      </c>
      <c r="B1" s="6" t="s">
        <v>285</v>
      </c>
      <c r="C1" s="6" t="s">
        <v>286</v>
      </c>
      <c r="D1" s="6" t="s">
        <v>287</v>
      </c>
      <c r="E1" s="6" t="s">
        <v>288</v>
      </c>
      <c r="F1" s="6" t="s">
        <v>289</v>
      </c>
    </row>
    <row r="2" customFormat="false" ht="23.85" hidden="false" customHeight="false" outlineLevel="0" collapsed="false">
      <c r="A2" s="3" t="s">
        <v>159</v>
      </c>
      <c r="B2" s="3" t="s">
        <v>290</v>
      </c>
      <c r="C2" s="3" t="s">
        <v>291</v>
      </c>
      <c r="D2" s="3" t="s">
        <v>292</v>
      </c>
      <c r="E2" s="3" t="s">
        <v>293</v>
      </c>
      <c r="F2" s="3" t="s">
        <v>294</v>
      </c>
    </row>
    <row r="3" customFormat="false" ht="23.85" hidden="false" customHeight="false" outlineLevel="0" collapsed="false">
      <c r="A3" s="3" t="s">
        <v>163</v>
      </c>
      <c r="B3" s="3" t="s">
        <v>295</v>
      </c>
      <c r="C3" s="3" t="s">
        <v>296</v>
      </c>
      <c r="D3" s="3" t="s">
        <v>297</v>
      </c>
      <c r="E3" s="3" t="s">
        <v>298</v>
      </c>
      <c r="F3" s="3" t="s">
        <v>299</v>
      </c>
    </row>
    <row r="4" customFormat="false" ht="15" hidden="false" customHeight="false" outlineLevel="0" collapsed="false">
      <c r="A4" s="3" t="s">
        <v>197</v>
      </c>
      <c r="B4" s="3" t="s">
        <v>300</v>
      </c>
      <c r="C4" s="3" t="s">
        <v>301</v>
      </c>
      <c r="D4" s="3" t="s">
        <v>302</v>
      </c>
      <c r="E4" s="3" t="s">
        <v>303</v>
      </c>
      <c r="F4" s="3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2026-10-05T14:37:13Z</dcterms:created>
  <dc:creator>openpyxl</dc:creator>
  <dc:description/>
  <dc:language>en-US</dc:language>
  <cp:lastModifiedBy/>
  <dcterms:modified xsi:type="dcterms:W3CDTF">2026-10-05T14:37:13Z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